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P1 Glass Doors Direct" sheetId="2" state="visible" r:id="rId4"/>
    <sheet name="P2 Walking Tours" sheetId="3" state="visible" r:id="rId5"/>
    <sheet name="P3 CCTV Security View" sheetId="4" state="visible" r:id="rId6"/>
    <sheet name="P4 Warehouse Industrial" sheetId="5" state="visible" r:id="rId7"/>
    <sheet name="P5 POV Action" sheetId="6" state="visible" r:id="rId8"/>
    <sheet name="P6-P12 Additional" sheetId="7" state="visible" r:id="rId9"/>
    <sheet name="Live Cam Sources" sheetId="8" state="visible" r:id="rId10"/>
    <sheet name="Data Diversity Strateg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<sst xmlns="http://schemas.openxmlformats.org/spreadsheetml/2006/main" count="1238" uniqueCount="935">
  <si>
    <t xml:space="preserve">DOOR DETECTION DATA COLLECTION PLAN — 100K IMAGE TARGET</t>
  </si>
  <si>
    <t xml:space="preserve">TARGET METRICS</t>
  </si>
  <si>
    <t xml:space="preserve">Target Good Door Images</t>
  </si>
  <si>
    <t xml:space="preserve">Historical Yield (40k videos → 7k images)</t>
  </si>
  <si>
    <t xml:space="preserve">Optimized Yield (targeted queries)</t>
  </si>
  <si>
    <t xml:space="preserve">Estimated Videos Needed (optimized)</t>
  </si>
  <si>
    <t xml:space="preserve">Avg Search Queries Planned</t>
  </si>
  <si>
    <t xml:space="preserve">Avg Videos per Query (est.)</t>
  </si>
  <si>
    <t xml:space="preserve">Total Reachable Video Pool</t>
  </si>
  <si>
    <t xml:space="preserve">CATEGORY SUMMARY</t>
  </si>
  <si>
    <t xml:space="preserve">Category</t>
  </si>
  <si>
    <t xml:space="preserve">Priority</t>
  </si>
  <si>
    <t xml:space="preserve"># Search Terms</t>
  </si>
  <si>
    <t xml:space="preserve">Est. Videos</t>
  </si>
  <si>
    <t xml:space="preserve">Yield Ratio</t>
  </si>
  <si>
    <t xml:space="preserve">Est. Good Images</t>
  </si>
  <si>
    <t xml:space="preserve">% of Target</t>
  </si>
  <si>
    <t xml:space="preserve">P1: Glass Doors — Direct Search</t>
  </si>
  <si>
    <t xml:space="preserve">★★★★★</t>
  </si>
  <si>
    <t xml:space="preserve">P2: Walking Tours &amp; Walkthroughs</t>
  </si>
  <si>
    <t xml:space="preserve">P3: CCTV &amp; Security Camera View</t>
  </si>
  <si>
    <t xml:space="preserve">★★★★☆</t>
  </si>
  <si>
    <t xml:space="preserve">P4: Warehouse &amp; Industrial</t>
  </si>
  <si>
    <t xml:space="preserve">P5: POV &amp; Action (Delivery/Audit)</t>
  </si>
  <si>
    <t xml:space="preserve">★★★☆☆</t>
  </si>
  <si>
    <t xml:space="preserve">P6: Real Estate &amp; Architecture</t>
  </si>
  <si>
    <t xml:space="preserve">P7: Technical &amp; Installation</t>
  </si>
  <si>
    <t xml:space="preserve">★★☆☆☆</t>
  </si>
  <si>
    <t xml:space="preserve">P8: Transportation Hubs</t>
  </si>
  <si>
    <t xml:space="preserve">P9: Retail &amp; Commercial Spaces</t>
  </si>
  <si>
    <t xml:space="preserve">P10: Live Cams &amp; Streams</t>
  </si>
  <si>
    <t xml:space="preserve">P11: Fail/Viral/Compilations</t>
  </si>
  <si>
    <t xml:space="preserve">P12: Residential Doors</t>
  </si>
  <si>
    <t xml:space="preserve">TOTAL</t>
  </si>
  <si>
    <t xml:space="preserve">P1: GLASS DOORS — DIRECT SEARCH (Primary Focus)</t>
  </si>
  <si>
    <t xml:space="preserve">YouTube Search Term</t>
  </si>
  <si>
    <t xml:space="preserve">Sub-Category</t>
  </si>
  <si>
    <t xml:space="preserve">Yield</t>
  </si>
  <si>
    <t xml:space="preserve">Notes</t>
  </si>
  <si>
    <t xml:space="preserve">Est. Images</t>
  </si>
  <si>
    <t xml:space="preserve">automatic glass door opening closing</t>
  </si>
  <si>
    <t xml:space="preserve">Automatic</t>
  </si>
  <si>
    <t xml:space="preserve">High density — door is subject</t>
  </si>
  <si>
    <t xml:space="preserve">automatic sliding glass door entrance</t>
  </si>
  <si>
    <t xml:space="preserve">Direct door footage</t>
  </si>
  <si>
    <t xml:space="preserve">automatic sensor doors</t>
  </si>
  <si>
    <t xml:space="preserve">Sensor-triggered door content</t>
  </si>
  <si>
    <t xml:space="preserve">automatic telescopic sliding door</t>
  </si>
  <si>
    <t xml:space="preserve">Technical door video</t>
  </si>
  <si>
    <t xml:space="preserve">double sliding glass door entrance</t>
  </si>
  <si>
    <t xml:space="preserve">Double door variants</t>
  </si>
  <si>
    <t xml:space="preserve">sensor door opening mechanism</t>
  </si>
  <si>
    <t xml:space="preserve">Mechanism focus, clear door shots</t>
  </si>
  <si>
    <t xml:space="preserve">motion sensor sliding door</t>
  </si>
  <si>
    <t xml:space="preserve">Sensor activation footage</t>
  </si>
  <si>
    <t xml:space="preserve">walking through automatic sliding doors</t>
  </si>
  <si>
    <t xml:space="preserve">POV walk-through, great angles</t>
  </si>
  <si>
    <t xml:space="preserve">entering automatic glass door</t>
  </si>
  <si>
    <t xml:space="preserve">Entry perspective</t>
  </si>
  <si>
    <t xml:space="preserve">shopping mall entrance automatic door</t>
  </si>
  <si>
    <t xml:space="preserve">Mall entrance variety</t>
  </si>
  <si>
    <t xml:space="preserve">airport automatic glass doors</t>
  </si>
  <si>
    <t xml:space="preserve">Airport-specific doors</t>
  </si>
  <si>
    <t xml:space="preserve">hospital automatic glass doors</t>
  </si>
  <si>
    <t xml:space="preserve">Healthcare facility doors</t>
  </si>
  <si>
    <t xml:space="preserve">supermarket entrance automatic door</t>
  </si>
  <si>
    <t xml:space="preserve">Grocery store entrances</t>
  </si>
  <si>
    <t xml:space="preserve">retail store entrance automatic door</t>
  </si>
  <si>
    <t xml:space="preserve">Retail glass fronts</t>
  </si>
  <si>
    <t xml:space="preserve">pharmacy automatic door entrance</t>
  </si>
  <si>
    <t xml:space="preserve">Pharmacy-specific</t>
  </si>
  <si>
    <t xml:space="preserve">glass door installation</t>
  </si>
  <si>
    <t xml:space="preserve">Installation</t>
  </si>
  <si>
    <t xml:space="preserve">Installation = full door view</t>
  </si>
  <si>
    <t xml:space="preserve">storefront glass door installation</t>
  </si>
  <si>
    <t xml:space="preserve">Storefront focus</t>
  </si>
  <si>
    <t xml:space="preserve">commercial glass door installation</t>
  </si>
  <si>
    <t xml:space="preserve">Commercial grade</t>
  </si>
  <si>
    <t xml:space="preserve">installing automatic glass door</t>
  </si>
  <si>
    <t xml:space="preserve">Step-by-step install</t>
  </si>
  <si>
    <t xml:space="preserve">glass door repair replacement</t>
  </si>
  <si>
    <t xml:space="preserve">Repair</t>
  </si>
  <si>
    <t xml:space="preserve">Repair = close-up door views</t>
  </si>
  <si>
    <t xml:space="preserve">broken glass door replacement</t>
  </si>
  <si>
    <t xml:space="preserve">Broken door before/after</t>
  </si>
  <si>
    <t xml:space="preserve">tempered glass door repair replacement</t>
  </si>
  <si>
    <t xml:space="preserve">Tempered glass specific</t>
  </si>
  <si>
    <t xml:space="preserve">glass door cleaning</t>
  </si>
  <si>
    <t xml:space="preserve">Maintenance</t>
  </si>
  <si>
    <t xml:space="preserve">Cleaning = full door visible</t>
  </si>
  <si>
    <t xml:space="preserve">commercial glass door hinge</t>
  </si>
  <si>
    <t xml:space="preserve">Hardware</t>
  </si>
  <si>
    <t xml:space="preserve">Hardware focus</t>
  </si>
  <si>
    <t xml:space="preserve">frameless glass door entrance</t>
  </si>
  <si>
    <t xml:space="preserve">Style</t>
  </si>
  <si>
    <t xml:space="preserve">Frameless style</t>
  </si>
  <si>
    <t xml:space="preserve">double glass door entryway</t>
  </si>
  <si>
    <t xml:space="preserve">Double door entry</t>
  </si>
  <si>
    <t xml:space="preserve">glass vestibule entrance</t>
  </si>
  <si>
    <t xml:space="preserve">Vestibule/airlock style</t>
  </si>
  <si>
    <t xml:space="preserve">entrance glass door</t>
  </si>
  <si>
    <t xml:space="preserve">Generic</t>
  </si>
  <si>
    <t xml:space="preserve">Broad search, high volume</t>
  </si>
  <si>
    <t xml:space="preserve">office glass door</t>
  </si>
  <si>
    <t xml:space="preserve">Office</t>
  </si>
  <si>
    <t xml:space="preserve">Office-specific glass doors</t>
  </si>
  <si>
    <t xml:space="preserve">glass conference room door</t>
  </si>
  <si>
    <t xml:space="preserve">Conference room glass</t>
  </si>
  <si>
    <t xml:space="preserve">tempered glass door</t>
  </si>
  <si>
    <t xml:space="preserve">Material</t>
  </si>
  <si>
    <t xml:space="preserve">Material-specific search</t>
  </si>
  <si>
    <t xml:space="preserve">sliding glass door operation</t>
  </si>
  <si>
    <t xml:space="preserve">Sliding</t>
  </si>
  <si>
    <t xml:space="preserve">Sliding mechanism</t>
  </si>
  <si>
    <t xml:space="preserve">sliding door installation</t>
  </si>
  <si>
    <t xml:space="preserve">Sliding door install</t>
  </si>
  <si>
    <t xml:space="preserve">sliding door repair replacement</t>
  </si>
  <si>
    <t xml:space="preserve">Sliding repair</t>
  </si>
  <si>
    <t xml:space="preserve">storefront sliding door installation</t>
  </si>
  <si>
    <t xml:space="preserve">Storefront sliding</t>
  </si>
  <si>
    <t xml:space="preserve">aluminium swing door installation</t>
  </si>
  <si>
    <t xml:space="preserve">Swing</t>
  </si>
  <si>
    <t xml:space="preserve">Swing door install</t>
  </si>
  <si>
    <t xml:space="preserve">aluminium swing door repair replacement</t>
  </si>
  <si>
    <t xml:space="preserve">Swing repair</t>
  </si>
  <si>
    <t xml:space="preserve">automatic swing door operator</t>
  </si>
  <si>
    <t xml:space="preserve">Swing mechanism</t>
  </si>
  <si>
    <t xml:space="preserve">revolving door mechanism</t>
  </si>
  <si>
    <t xml:space="preserve">Revolving</t>
  </si>
  <si>
    <t xml:space="preserve">Revolving mechanism</t>
  </si>
  <si>
    <t xml:space="preserve">glass revolving door spinning</t>
  </si>
  <si>
    <t xml:space="preserve">Revolving glass</t>
  </si>
  <si>
    <t xml:space="preserve">revolving door entrance walkthrough</t>
  </si>
  <si>
    <t xml:space="preserve">Walk-through revolving</t>
  </si>
  <si>
    <t xml:space="preserve">patio door repair replacement</t>
  </si>
  <si>
    <t xml:space="preserve">Patio</t>
  </si>
  <si>
    <t xml:space="preserve">Patio/residential</t>
  </si>
  <si>
    <t xml:space="preserve">patio sliding glass door operation</t>
  </si>
  <si>
    <t xml:space="preserve">Patio sliding</t>
  </si>
  <si>
    <t xml:space="preserve">french door repair replacement</t>
  </si>
  <si>
    <t xml:space="preserve">French</t>
  </si>
  <si>
    <t xml:space="preserve">French door style</t>
  </si>
  <si>
    <t xml:space="preserve">glass bi-fold doors opening</t>
  </si>
  <si>
    <t xml:space="preserve">Bi-fold</t>
  </si>
  <si>
    <t xml:space="preserve">Bi-fold glass</t>
  </si>
  <si>
    <t xml:space="preserve">stacking glass doors restaurant</t>
  </si>
  <si>
    <t xml:space="preserve">Specialty</t>
  </si>
  <si>
    <t xml:space="preserve">Restaurant stacking doors</t>
  </si>
  <si>
    <t xml:space="preserve">fire door with glass vision panel</t>
  </si>
  <si>
    <t xml:space="preserve">Safety</t>
  </si>
  <si>
    <t xml:space="preserve">Fire door with glass</t>
  </si>
  <si>
    <t xml:space="preserve">emergency exit glass door</t>
  </si>
  <si>
    <t xml:space="preserve">Emergency exit doors</t>
  </si>
  <si>
    <t xml:space="preserve">elevator glass door opening</t>
  </si>
  <si>
    <t xml:space="preserve">Elevator</t>
  </si>
  <si>
    <t xml:space="preserve">Elevator glass doors</t>
  </si>
  <si>
    <t xml:space="preserve">glass elevator tour</t>
  </si>
  <si>
    <t xml:space="preserve">Glass elevator panoramic</t>
  </si>
  <si>
    <t xml:space="preserve">convenience store glass door</t>
  </si>
  <si>
    <t xml:space="preserve">Retail</t>
  </si>
  <si>
    <t xml:space="preserve">Convenience store front</t>
  </si>
  <si>
    <t xml:space="preserve">gas station entrance door</t>
  </si>
  <si>
    <t xml:space="preserve">Gas station doors</t>
  </si>
  <si>
    <t xml:space="preserve">bank entrance security door</t>
  </si>
  <si>
    <t xml:space="preserve">Security</t>
  </si>
  <si>
    <t xml:space="preserve">Bank glass security</t>
  </si>
  <si>
    <t xml:space="preserve">data center security mantrap</t>
  </si>
  <si>
    <t xml:space="preserve">Mantrap glass doors</t>
  </si>
  <si>
    <t xml:space="preserve">glass turnstile gate opening</t>
  </si>
  <si>
    <t xml:space="preserve">Turnstile</t>
  </si>
  <si>
    <t xml:space="preserve">Glass turnstile</t>
  </si>
  <si>
    <t xml:space="preserve">gym entrance turnstile glass</t>
  </si>
  <si>
    <t xml:space="preserve">Gym glass gate</t>
  </si>
  <si>
    <t xml:space="preserve">subway station glass gates</t>
  </si>
  <si>
    <t xml:space="preserve">Transit</t>
  </si>
  <si>
    <t xml:space="preserve">Metro platform doors</t>
  </si>
  <si>
    <t xml:space="preserve">mrt station glass door</t>
  </si>
  <si>
    <t xml:space="preserve">MRT platform screen</t>
  </si>
  <si>
    <t xml:space="preserve">train station automatic doors</t>
  </si>
  <si>
    <t xml:space="preserve">Train station doors</t>
  </si>
  <si>
    <t xml:space="preserve">automatic door sensor test</t>
  </si>
  <si>
    <t xml:space="preserve">Testing</t>
  </si>
  <si>
    <t xml:space="preserve">Sensor test footage</t>
  </si>
  <si>
    <t xml:space="preserve">handicap door opener button usage</t>
  </si>
  <si>
    <t xml:space="preserve">Accessibility</t>
  </si>
  <si>
    <t xml:space="preserve">ADA door openers</t>
  </si>
  <si>
    <t xml:space="preserve">modern bathroom glass shower door</t>
  </si>
  <si>
    <t xml:space="preserve">Shower</t>
  </si>
  <si>
    <t xml:space="preserve">Shower glass doors</t>
  </si>
  <si>
    <t xml:space="preserve">frameless glass shower door</t>
  </si>
  <si>
    <t xml:space="preserve">Frameless shower</t>
  </si>
  <si>
    <t xml:space="preserve">luxury apartment balcony glass door</t>
  </si>
  <si>
    <t xml:space="preserve">Residential</t>
  </si>
  <si>
    <t xml:space="preserve">Balcony glass</t>
  </si>
  <si>
    <t xml:space="preserve">automatic door installation tutorial</t>
  </si>
  <si>
    <t xml:space="preserve">Tutorial</t>
  </si>
  <si>
    <t xml:space="preserve">Tutorial = full process</t>
  </si>
  <si>
    <t xml:space="preserve">P2: WALKING TOURS &amp; WALKTHROUGHS (Doors as By-Product — High Volume)</t>
  </si>
  <si>
    <t xml:space="preserve">shopping mall 4k walking tour</t>
  </si>
  <si>
    <t xml:space="preserve">Mall</t>
  </si>
  <si>
    <t xml:space="preserve">High door density — entrances everywhere</t>
  </si>
  <si>
    <t xml:space="preserve">department store entrance 4k</t>
  </si>
  <si>
    <t xml:space="preserve">Department store glass fronts</t>
  </si>
  <si>
    <t xml:space="preserve">shopping mall interior walkthrough</t>
  </si>
  <si>
    <t xml:space="preserve">Interior store glass doors</t>
  </si>
  <si>
    <t xml:space="preserve">outlet mall walking tour 4k</t>
  </si>
  <si>
    <t xml:space="preserve">Outlet stores = many glass storefronts</t>
  </si>
  <si>
    <t xml:space="preserve">luxury mall walking tour</t>
  </si>
  <si>
    <t xml:space="preserve">High-end glass storefronts</t>
  </si>
  <si>
    <t xml:space="preserve">underground shopping walkthrough</t>
  </si>
  <si>
    <t xml:space="preserve">Underground mall doors</t>
  </si>
  <si>
    <t xml:space="preserve">airport terminal walkthrough 4k</t>
  </si>
  <si>
    <t xml:space="preserve">Airport</t>
  </si>
  <si>
    <t xml:space="preserve">Automatic doors, glass partitions</t>
  </si>
  <si>
    <t xml:space="preserve">airport arrival automatic doors</t>
  </si>
  <si>
    <t xml:space="preserve">Arrival hall doors</t>
  </si>
  <si>
    <t xml:space="preserve">airport departure terminal tour</t>
  </si>
  <si>
    <t xml:space="preserve">Departure area glass</t>
  </si>
  <si>
    <t xml:space="preserve">luxury hotel lobby walkthrough</t>
  </si>
  <si>
    <t xml:space="preserve">Hotel</t>
  </si>
  <si>
    <t xml:space="preserve">Hotel glass entrances, lobbies</t>
  </si>
  <si>
    <t xml:space="preserve">5 star hotel room tour</t>
  </si>
  <si>
    <t xml:space="preserve">Bathroom glass, balcony doors</t>
  </si>
  <si>
    <t xml:space="preserve">hotel entrance walkthrough</t>
  </si>
  <si>
    <t xml:space="preserve">Direct entrance footage</t>
  </si>
  <si>
    <t xml:space="preserve">las vegas casino walking tour 4k</t>
  </si>
  <si>
    <t xml:space="preserve">Casino</t>
  </si>
  <si>
    <t xml:space="preserve">Casino glass doors</t>
  </si>
  <si>
    <t xml:space="preserve">las vegas strip walking tour 4k</t>
  </si>
  <si>
    <t xml:space="preserve">Strip storefronts</t>
  </si>
  <si>
    <t xml:space="preserve">apple store walking tour 4k</t>
  </si>
  <si>
    <t xml:space="preserve">Apple store = iconic glass</t>
  </si>
  <si>
    <t xml:space="preserve">retail store glass storefront walk</t>
  </si>
  <si>
    <t xml:space="preserve">Glass storefront focus</t>
  </si>
  <si>
    <t xml:space="preserve">ikea store walkthrough tour</t>
  </si>
  <si>
    <t xml:space="preserve">Large retail — some doors</t>
  </si>
  <si>
    <t xml:space="preserve">costco store walkthrough</t>
  </si>
  <si>
    <t xml:space="preserve">Warehouse retail entrance</t>
  </si>
  <si>
    <t xml:space="preserve">target store tour walkthrough</t>
  </si>
  <si>
    <t xml:space="preserve">Target entrance doors</t>
  </si>
  <si>
    <t xml:space="preserve">walmart store walkthrough</t>
  </si>
  <si>
    <t xml:space="preserve">Walmart entrance</t>
  </si>
  <si>
    <t xml:space="preserve">modern office tour glass partitions</t>
  </si>
  <si>
    <t xml:space="preserve">Glass partitions + doors</t>
  </si>
  <si>
    <t xml:space="preserve">corporate headquarters tour</t>
  </si>
  <si>
    <t xml:space="preserve">Corporate glass lobbies</t>
  </si>
  <si>
    <t xml:space="preserve">google office tour</t>
  </si>
  <si>
    <t xml:space="preserve">Tech office glass</t>
  </si>
  <si>
    <t xml:space="preserve">coworking space tour</t>
  </si>
  <si>
    <t xml:space="preserve">Co-work glass rooms</t>
  </si>
  <si>
    <t xml:space="preserve">office building lobby tour 4k</t>
  </si>
  <si>
    <t xml:space="preserve">Lobby = entrance doors</t>
  </si>
  <si>
    <t xml:space="preserve">university campus tour 4k</t>
  </si>
  <si>
    <t xml:space="preserve">University</t>
  </si>
  <si>
    <t xml:space="preserve">Campus building entrances</t>
  </si>
  <si>
    <t xml:space="preserve">university library tour</t>
  </si>
  <si>
    <t xml:space="preserve">Library glass entries</t>
  </si>
  <si>
    <t xml:space="preserve">dead mall exploration 4k</t>
  </si>
  <si>
    <t xml:space="preserve">Exploration</t>
  </si>
  <si>
    <t xml:space="preserve">Abandoned storefronts</t>
  </si>
  <si>
    <t xml:space="preserve">abandoned building exploration</t>
  </si>
  <si>
    <t xml:space="preserve">Various door types</t>
  </si>
  <si>
    <t xml:space="preserve">museum walkthrough tour 4k</t>
  </si>
  <si>
    <t xml:space="preserve">Museum</t>
  </si>
  <si>
    <t xml:space="preserve">Museum glass entries</t>
  </si>
  <si>
    <t xml:space="preserve">art gallery walkthrough</t>
  </si>
  <si>
    <t xml:space="preserve">Gallery glass doors</t>
  </si>
  <si>
    <t xml:space="preserve">hospital tour walkthrough</t>
  </si>
  <si>
    <t xml:space="preserve">Healthcare</t>
  </si>
  <si>
    <t xml:space="preserve">Hospital automatic doors</t>
  </si>
  <si>
    <t xml:space="preserve">gym tour walkthrough</t>
  </si>
  <si>
    <t xml:space="preserve">Fitness</t>
  </si>
  <si>
    <t xml:space="preserve">Gym glass entrances</t>
  </si>
  <si>
    <t xml:space="preserve">fitness center tour</t>
  </si>
  <si>
    <t xml:space="preserve">Fitness center doors</t>
  </si>
  <si>
    <t xml:space="preserve">car showroom glass entrance</t>
  </si>
  <si>
    <t xml:space="preserve">Showroom</t>
  </si>
  <si>
    <t xml:space="preserve">Showroom = massive glass</t>
  </si>
  <si>
    <t xml:space="preserve">car dealership walkthrough</t>
  </si>
  <si>
    <t xml:space="preserve">Dealership glass fronts</t>
  </si>
  <si>
    <t xml:space="preserve">showroom tour</t>
  </si>
  <si>
    <t xml:space="preserve">Generic showroom glass</t>
  </si>
  <si>
    <t xml:space="preserve">tech park tour</t>
  </si>
  <si>
    <t xml:space="preserve">Campus</t>
  </si>
  <si>
    <t xml:space="preserve">Tech park buildings</t>
  </si>
  <si>
    <t xml:space="preserve">business park walking tour</t>
  </si>
  <si>
    <t xml:space="preserve">Business park entries</t>
  </si>
  <si>
    <t xml:space="preserve">4k city walking tour tokyo</t>
  </si>
  <si>
    <t xml:space="preserve">City</t>
  </si>
  <si>
    <t xml:space="preserve">Dense urban storefronts</t>
  </si>
  <si>
    <t xml:space="preserve">4k city walking tour new york</t>
  </si>
  <si>
    <t xml:space="preserve">NYC storefronts</t>
  </si>
  <si>
    <t xml:space="preserve">4k city walking tour london</t>
  </si>
  <si>
    <t xml:space="preserve">London shops</t>
  </si>
  <si>
    <t xml:space="preserve">4k city walking tour dubai</t>
  </si>
  <si>
    <t xml:space="preserve">Dubai modern glass</t>
  </si>
  <si>
    <t xml:space="preserve">4k city walking tour singapore</t>
  </si>
  <si>
    <t xml:space="preserve">Singapore modern doors</t>
  </si>
  <si>
    <t xml:space="preserve">4k city walking tour seoul</t>
  </si>
  <si>
    <t xml:space="preserve">Seoul urban glass</t>
  </si>
  <si>
    <t xml:space="preserve">shopping street walking tour</t>
  </si>
  <si>
    <t xml:space="preserve">Shopping street storefronts</t>
  </si>
  <si>
    <t xml:space="preserve">ginza tokyo walking tour</t>
  </si>
  <si>
    <t xml:space="preserve">Luxury district glass</t>
  </si>
  <si>
    <t xml:space="preserve">orchard road singapore walkthrough</t>
  </si>
  <si>
    <t xml:space="preserve">Singapore shopping</t>
  </si>
  <si>
    <t xml:space="preserve">champs elysees paris walking tour</t>
  </si>
  <si>
    <t xml:space="preserve">Paris luxury glass</t>
  </si>
  <si>
    <t xml:space="preserve">5th avenue new york walking tour</t>
  </si>
  <si>
    <t xml:space="preserve">NYC luxury storefronts</t>
  </si>
  <si>
    <t xml:space="preserve">train station walkthrough 4k</t>
  </si>
  <si>
    <t xml:space="preserve">Station glass gates/doors</t>
  </si>
  <si>
    <t xml:space="preserve">subway station tour</t>
  </si>
  <si>
    <t xml:space="preserve">Metro glass barriers</t>
  </si>
  <si>
    <t xml:space="preserve">cruise ship tour walkthrough</t>
  </si>
  <si>
    <t xml:space="preserve">Transport</t>
  </si>
  <si>
    <t xml:space="preserve">Ship glass doors</t>
  </si>
  <si>
    <t xml:space="preserve">convention center walkthrough</t>
  </si>
  <si>
    <t xml:space="preserve">Events</t>
  </si>
  <si>
    <t xml:space="preserve">Convention glass entries</t>
  </si>
  <si>
    <t xml:space="preserve">trade show floor tour</t>
  </si>
  <si>
    <t xml:space="preserve">Trade show booths</t>
  </si>
  <si>
    <t xml:space="preserve">P3: CCTV &amp; SECURITY CAMERA VIEW (Priority #2)</t>
  </si>
  <si>
    <t xml:space="preserve">CCTV footage store entrance</t>
  </si>
  <si>
    <t xml:space="preserve">Store CCTV</t>
  </si>
  <si>
    <t xml:space="preserve">Security cam angle of store doors</t>
  </si>
  <si>
    <t xml:space="preserve">security camera footage shoplifting</t>
  </si>
  <si>
    <t xml:space="preserve">Shoplifting = entering through doors</t>
  </si>
  <si>
    <t xml:space="preserve">CCTV footage convenience store</t>
  </si>
  <si>
    <t xml:space="preserve">C-store security cam view</t>
  </si>
  <si>
    <t xml:space="preserve">security camera robbery store</t>
  </si>
  <si>
    <t xml:space="preserve">Robbery = door entry captured</t>
  </si>
  <si>
    <t xml:space="preserve">CCTV footage break in</t>
  </si>
  <si>
    <t xml:space="preserve">Break-in through doors</t>
  </si>
  <si>
    <t xml:space="preserve">doorbell camera footage</t>
  </si>
  <si>
    <t xml:space="preserve">Doorbell</t>
  </si>
  <si>
    <t xml:space="preserve">Ring/Nest = front door view</t>
  </si>
  <si>
    <t xml:space="preserve">ring doorbell camera compilation</t>
  </si>
  <si>
    <t xml:space="preserve">Doorbell cam = door always visible</t>
  </si>
  <si>
    <t xml:space="preserve">ring camera funny moments</t>
  </si>
  <si>
    <t xml:space="preserve">Doorbell humor = door in frame</t>
  </si>
  <si>
    <t xml:space="preserve">nest cam front door footage</t>
  </si>
  <si>
    <t xml:space="preserve">Nest cam = door focused</t>
  </si>
  <si>
    <t xml:space="preserve">security camera porch pirate</t>
  </si>
  <si>
    <t xml:space="preserve">Porch cam = front door visible</t>
  </si>
  <si>
    <t xml:space="preserve">CCTV footage supermarket</t>
  </si>
  <si>
    <t xml:space="preserve">Retail CCTV</t>
  </si>
  <si>
    <t xml:space="preserve">Supermarket overhead cam</t>
  </si>
  <si>
    <t xml:space="preserve">surveillance camera shopping mall</t>
  </si>
  <si>
    <t xml:space="preserve">Mall CCTV</t>
  </si>
  <si>
    <t xml:space="preserve">Mall surveillance angles</t>
  </si>
  <si>
    <t xml:space="preserve">CCTV footage parking garage entrance</t>
  </si>
  <si>
    <t xml:space="preserve">Parking</t>
  </si>
  <si>
    <t xml:space="preserve">Garage door/gate</t>
  </si>
  <si>
    <t xml:space="preserve">security camera warehouse</t>
  </si>
  <si>
    <t xml:space="preserve">Warehouse</t>
  </si>
  <si>
    <t xml:space="preserve">Warehouse door + CCTV angle</t>
  </si>
  <si>
    <t xml:space="preserve">CCTV footage warehouse theft</t>
  </si>
  <si>
    <t xml:space="preserve">Warehouse doors in footage</t>
  </si>
  <si>
    <t xml:space="preserve">security camera office building</t>
  </si>
  <si>
    <t xml:space="preserve">Office CCTV view</t>
  </si>
  <si>
    <t xml:space="preserve">CCTV footage lobby</t>
  </si>
  <si>
    <t xml:space="preserve">Lobby</t>
  </si>
  <si>
    <t xml:space="preserve">Lobby camera = entrance doors</t>
  </si>
  <si>
    <t xml:space="preserve">security camera footage compilation</t>
  </si>
  <si>
    <t xml:space="preserve">Compilation</t>
  </si>
  <si>
    <t xml:space="preserve">Mixed locations — varied doors</t>
  </si>
  <si>
    <t xml:space="preserve">CCTV caught on camera</t>
  </si>
  <si>
    <t xml:space="preserve">Viral CCTV — some doors</t>
  </si>
  <si>
    <t xml:space="preserve">home security camera footage night</t>
  </si>
  <si>
    <t xml:space="preserve">Home</t>
  </si>
  <si>
    <t xml:space="preserve">Night vision door footage</t>
  </si>
  <si>
    <t xml:space="preserve">security camera footage package delivery</t>
  </si>
  <si>
    <t xml:space="preserve">Delivery</t>
  </si>
  <si>
    <t xml:space="preserve">Delivery at door</t>
  </si>
  <si>
    <t xml:space="preserve">security camera bank entrance</t>
  </si>
  <si>
    <t xml:space="preserve">Bank</t>
  </si>
  <si>
    <t xml:space="preserve">Bank entrance CCTV</t>
  </si>
  <si>
    <t xml:space="preserve">CCTV footage hotel entrance</t>
  </si>
  <si>
    <t xml:space="preserve">Hotel entrance camera</t>
  </si>
  <si>
    <t xml:space="preserve">security camera gas station</t>
  </si>
  <si>
    <t xml:space="preserve">Gas Station</t>
  </si>
  <si>
    <t xml:space="preserve">Gas station door cam</t>
  </si>
  <si>
    <t xml:space="preserve">CCTV footage hospital entrance</t>
  </si>
  <si>
    <t xml:space="preserve">Hospital</t>
  </si>
  <si>
    <t xml:space="preserve">Hospital entrance cam</t>
  </si>
  <si>
    <t xml:space="preserve">dashcam footage drive through</t>
  </si>
  <si>
    <t xml:space="preserve">Vehicle</t>
  </si>
  <si>
    <t xml:space="preserve">Some drive-through doors visible</t>
  </si>
  <si>
    <t xml:space="preserve">body cam footage entering building</t>
  </si>
  <si>
    <t xml:space="preserve">Body Cam</t>
  </si>
  <si>
    <t xml:space="preserve">Police bodycam = entering doors</t>
  </si>
  <si>
    <t xml:space="preserve">police body camera footage door</t>
  </si>
  <si>
    <t xml:space="preserve">Bodycam door entry</t>
  </si>
  <si>
    <t xml:space="preserve">security camera apartment building</t>
  </si>
  <si>
    <t xml:space="preserve">Apartment entrance cam</t>
  </si>
  <si>
    <t xml:space="preserve">CCTV footage school entrance</t>
  </si>
  <si>
    <t xml:space="preserve">Education</t>
  </si>
  <si>
    <t xml:space="preserve">School entrance camera</t>
  </si>
  <si>
    <t xml:space="preserve">trail camera footage cabin door</t>
  </si>
  <si>
    <t xml:space="preserve">Trail Cam</t>
  </si>
  <si>
    <t xml:space="preserve">Cabin/remote door</t>
  </si>
  <si>
    <t xml:space="preserve">smart home camera front door</t>
  </si>
  <si>
    <t xml:space="preserve">Smart Home</t>
  </si>
  <si>
    <t xml:space="preserve">Smart cam = door focused</t>
  </si>
  <si>
    <t xml:space="preserve">wyze cam front door footage</t>
  </si>
  <si>
    <t xml:space="preserve">Wyze cam = door view</t>
  </si>
  <si>
    <t xml:space="preserve">arlo camera front door</t>
  </si>
  <si>
    <t xml:space="preserve">Arlo = door footage</t>
  </si>
  <si>
    <t xml:space="preserve">eufy doorbell camera footage</t>
  </si>
  <si>
    <t xml:space="preserve">Eufy doorbell = door view</t>
  </si>
  <si>
    <t xml:space="preserve">CCTV footage factory entrance</t>
  </si>
  <si>
    <t xml:space="preserve">Industrial</t>
  </si>
  <si>
    <t xml:space="preserve">Factory gate/door</t>
  </si>
  <si>
    <t xml:space="preserve">security camera construction site entrance</t>
  </si>
  <si>
    <t xml:space="preserve">Construction</t>
  </si>
  <si>
    <t xml:space="preserve">Construction entrance</t>
  </si>
  <si>
    <t xml:space="preserve">traffic camera footage intersection</t>
  </si>
  <si>
    <t xml:space="preserve">Traffic</t>
  </si>
  <si>
    <t xml:space="preserve">Occasional building doors visible</t>
  </si>
  <si>
    <t xml:space="preserve">CCTV multi screen view</t>
  </si>
  <si>
    <t xml:space="preserve">Multi-view</t>
  </si>
  <si>
    <t xml:space="preserve">Multi-cam grid — multiple doors</t>
  </si>
  <si>
    <t xml:space="preserve">NVR security camera playback</t>
  </si>
  <si>
    <t xml:space="preserve">NVR</t>
  </si>
  <si>
    <t xml:space="preserve">NVR playback — various doors</t>
  </si>
  <si>
    <t xml:space="preserve">security camera night vision entrance</t>
  </si>
  <si>
    <t xml:space="preserve">Night</t>
  </si>
  <si>
    <t xml:space="preserve">Night IR door footage</t>
  </si>
  <si>
    <t xml:space="preserve">4k security camera footage</t>
  </si>
  <si>
    <t xml:space="preserve">HD CCTV</t>
  </si>
  <si>
    <t xml:space="preserve">High-res CCTV with doors</t>
  </si>
  <si>
    <t xml:space="preserve">hikvision camera footage sample</t>
  </si>
  <si>
    <t xml:space="preserve">Brand Demo</t>
  </si>
  <si>
    <t xml:space="preserve">Camera brand demo footage</t>
  </si>
  <si>
    <t xml:space="preserve">dahua camera footage demo</t>
  </si>
  <si>
    <t xml:space="preserve">Brand demo = building doors</t>
  </si>
  <si>
    <t xml:space="preserve">reolink camera footage outdoor</t>
  </si>
  <si>
    <t xml:space="preserve">Outdoor cam door shots</t>
  </si>
  <si>
    <t xml:space="preserve">security camera installation storefront</t>
  </si>
  <si>
    <t xml:space="preserve">Install</t>
  </si>
  <si>
    <t xml:space="preserve">Install at storefront = door in frame</t>
  </si>
  <si>
    <t xml:space="preserve">CCTV camera placement guide store</t>
  </si>
  <si>
    <t xml:space="preserve">Placement guide = door views</t>
  </si>
  <si>
    <t xml:space="preserve">ip camera live feed entrance</t>
  </si>
  <si>
    <t xml:space="preserve">IP Cam</t>
  </si>
  <si>
    <t xml:space="preserve">IP cam entrance feed</t>
  </si>
  <si>
    <t xml:space="preserve">fisheye security camera footage</t>
  </si>
  <si>
    <t xml:space="preserve">Fisheye</t>
  </si>
  <si>
    <t xml:space="preserve">Fisheye = wide door view</t>
  </si>
  <si>
    <t xml:space="preserve">PTZ camera tracking person entrance</t>
  </si>
  <si>
    <t xml:space="preserve">PTZ</t>
  </si>
  <si>
    <t xml:space="preserve">PTZ tracking at entrance</t>
  </si>
  <si>
    <t xml:space="preserve">P4: WAREHOUSE &amp; INDUSTRIAL VIEW (Priority #3)</t>
  </si>
  <si>
    <t xml:space="preserve">warehouse tour walkthrough</t>
  </si>
  <si>
    <t xml:space="preserve">Tour</t>
  </si>
  <si>
    <t xml:space="preserve">Warehouse doors — roll-up, man doors</t>
  </si>
  <si>
    <t xml:space="preserve">amazon warehouse tour</t>
  </si>
  <si>
    <t xml:space="preserve">Amazon FC = loading dock doors</t>
  </si>
  <si>
    <t xml:space="preserve">amazon fulfillment center tour</t>
  </si>
  <si>
    <t xml:space="preserve">FC interior doors</t>
  </si>
  <si>
    <t xml:space="preserve">warehouse day in the life</t>
  </si>
  <si>
    <t xml:space="preserve">Vlog</t>
  </si>
  <si>
    <t xml:space="preserve">Worker POV — passing through doors</t>
  </si>
  <si>
    <t xml:space="preserve">warehouse worker pov</t>
  </si>
  <si>
    <t xml:space="preserve">POV = first-person door encounters</t>
  </si>
  <si>
    <t xml:space="preserve">forklift pov warehouse</t>
  </si>
  <si>
    <t xml:space="preserve">Forklift</t>
  </si>
  <si>
    <t xml:space="preserve">Forklift through dock doors</t>
  </si>
  <si>
    <t xml:space="preserve">forklift driver day in the life</t>
  </si>
  <si>
    <t xml:space="preserve">Forklift door traversal</t>
  </si>
  <si>
    <t xml:space="preserve">forklift warehouse operation</t>
  </si>
  <si>
    <t xml:space="preserve">Forklift operating near doors</t>
  </si>
  <si>
    <t xml:space="preserve">distribution center tour</t>
  </si>
  <si>
    <t xml:space="preserve">Logistics</t>
  </si>
  <si>
    <t xml:space="preserve">DC = many industrial doors</t>
  </si>
  <si>
    <t xml:space="preserve">logistics warehouse walkthrough</t>
  </si>
  <si>
    <t xml:space="preserve">Logistics facility doors</t>
  </si>
  <si>
    <t xml:space="preserve">loading dock operation</t>
  </si>
  <si>
    <t xml:space="preserve">Dock</t>
  </si>
  <si>
    <t xml:space="preserve">Loading dock = roll-up doors</t>
  </si>
  <si>
    <t xml:space="preserve">loading dock truck arrival</t>
  </si>
  <si>
    <t xml:space="preserve">Truck dock doors opening</t>
  </si>
  <si>
    <t xml:space="preserve">roll up door warehouse opening</t>
  </si>
  <si>
    <t xml:space="preserve">Doors</t>
  </si>
  <si>
    <t xml:space="preserve">Direct roll-up door footage</t>
  </si>
  <si>
    <t xml:space="preserve">overhead door installation warehouse</t>
  </si>
  <si>
    <t xml:space="preserve">OH door install</t>
  </si>
  <si>
    <t xml:space="preserve">industrial roll up door operation</t>
  </si>
  <si>
    <t xml:space="preserve">Industrial roll-up</t>
  </si>
  <si>
    <t xml:space="preserve">warehouse door installation</t>
  </si>
  <si>
    <t xml:space="preserve">Warehouse door specific</t>
  </si>
  <si>
    <t xml:space="preserve">sectional overhead door</t>
  </si>
  <si>
    <t xml:space="preserve">Sectional door type</t>
  </si>
  <si>
    <t xml:space="preserve">high speed door warehouse</t>
  </si>
  <si>
    <t xml:space="preserve">High-speed industrial door</t>
  </si>
  <si>
    <t xml:space="preserve">rapid roll door operation</t>
  </si>
  <si>
    <t xml:space="preserve">Rapid roll doors</t>
  </si>
  <si>
    <t xml:space="preserve">strip curtain door warehouse</t>
  </si>
  <si>
    <t xml:space="preserve">PVC strip doors</t>
  </si>
  <si>
    <t xml:space="preserve">cold storage warehouse tour</t>
  </si>
  <si>
    <t xml:space="preserve">Cold Storage</t>
  </si>
  <si>
    <t xml:space="preserve">Cold storage = insulated doors</t>
  </si>
  <si>
    <t xml:space="preserve">cold storage facility walkthrough</t>
  </si>
  <si>
    <t xml:space="preserve">Insulated doors</t>
  </si>
  <si>
    <t xml:space="preserve">freezer warehouse door</t>
  </si>
  <si>
    <t xml:space="preserve">Freezer doors</t>
  </si>
  <si>
    <t xml:space="preserve">factory tour manufacturing</t>
  </si>
  <si>
    <t xml:space="preserve">Factory</t>
  </si>
  <si>
    <t xml:space="preserve">Factory = industrial doors</t>
  </si>
  <si>
    <t xml:space="preserve">factory tour how its made</t>
  </si>
  <si>
    <t xml:space="preserve">Manufacturing doors</t>
  </si>
  <si>
    <t xml:space="preserve">assembly line factory walkthrough</t>
  </si>
  <si>
    <t xml:space="preserve">Assembly area doors</t>
  </si>
  <si>
    <t xml:space="preserve">brewery tour walkthrough</t>
  </si>
  <si>
    <t xml:space="preserve">Food/Bev</t>
  </si>
  <si>
    <t xml:space="preserve">Brewery industrial doors</t>
  </si>
  <si>
    <t xml:space="preserve">food processing plant tour</t>
  </si>
  <si>
    <t xml:space="preserve">Food plant doors</t>
  </si>
  <si>
    <t xml:space="preserve">pharmaceutical factory tour</t>
  </si>
  <si>
    <t xml:space="preserve">Pharma</t>
  </si>
  <si>
    <t xml:space="preserve">Clean room doors</t>
  </si>
  <si>
    <t xml:space="preserve">clean room facility tour</t>
  </si>
  <si>
    <t xml:space="preserve">Clean room airlock doors</t>
  </si>
  <si>
    <t xml:space="preserve">automotive factory tour</t>
  </si>
  <si>
    <t xml:space="preserve">Automotive</t>
  </si>
  <si>
    <t xml:space="preserve">Auto plant doors</t>
  </si>
  <si>
    <t xml:space="preserve">tesla factory tour gigafactory</t>
  </si>
  <si>
    <t xml:space="preserve">Tesla factory doors</t>
  </si>
  <si>
    <t xml:space="preserve">warehouse CCTV footage</t>
  </si>
  <si>
    <t xml:space="preserve">CCTV</t>
  </si>
  <si>
    <t xml:space="preserve">Warehouse camera angle</t>
  </si>
  <si>
    <t xml:space="preserve">warehouse security camera forklift</t>
  </si>
  <si>
    <t xml:space="preserve">Forklift near doors</t>
  </si>
  <si>
    <t xml:space="preserve">warehouse accident caught on camera</t>
  </si>
  <si>
    <t xml:space="preserve">Accidents near dock doors</t>
  </si>
  <si>
    <t xml:space="preserve">loading dock safety training video</t>
  </si>
  <si>
    <t xml:space="preserve">Training</t>
  </si>
  <si>
    <t xml:space="preserve">Training = dock door focus</t>
  </si>
  <si>
    <t xml:space="preserve">warehouse safety training video</t>
  </si>
  <si>
    <t xml:space="preserve">Safety training doors</t>
  </si>
  <si>
    <t xml:space="preserve">osha warehouse safety</t>
  </si>
  <si>
    <t xml:space="preserve">OSHA = door safety</t>
  </si>
  <si>
    <t xml:space="preserve">shipping receiving warehouse</t>
  </si>
  <si>
    <t xml:space="preserve">Operations</t>
  </si>
  <si>
    <t xml:space="preserve">Shipping/receiving = dock doors</t>
  </si>
  <si>
    <t xml:space="preserve">cross dock facility operation</t>
  </si>
  <si>
    <t xml:space="preserve">Cross-dock = many doors</t>
  </si>
  <si>
    <t xml:space="preserve">3pl warehouse tour</t>
  </si>
  <si>
    <t xml:space="preserve">3PL</t>
  </si>
  <si>
    <t xml:space="preserve">3PL facility doors</t>
  </si>
  <si>
    <t xml:space="preserve">ecommerce fulfillment center</t>
  </si>
  <si>
    <t xml:space="preserve">Ecommerce</t>
  </si>
  <si>
    <t xml:space="preserve">Ecommerce FC doors</t>
  </si>
  <si>
    <t xml:space="preserve">warehouse automation tour</t>
  </si>
  <si>
    <t xml:space="preserve">Automation</t>
  </si>
  <si>
    <t xml:space="preserve">Automated warehouse doors</t>
  </si>
  <si>
    <t xml:space="preserve">robotic warehouse tour</t>
  </si>
  <si>
    <t xml:space="preserve">Robot warehouse</t>
  </si>
  <si>
    <t xml:space="preserve">data center tour walkthrough</t>
  </si>
  <si>
    <t xml:space="preserve">Data Center</t>
  </si>
  <si>
    <t xml:space="preserve">Data center secure doors</t>
  </si>
  <si>
    <t xml:space="preserve">P5: POV &amp; ACTION — DELIVERY, AUDITS, FIRST PERSON</t>
  </si>
  <si>
    <t xml:space="preserve">food delivery driver pov gopro</t>
  </si>
  <si>
    <t xml:space="preserve">Delivery POV</t>
  </si>
  <si>
    <t xml:space="preserve">Delivery = door at every stop</t>
  </si>
  <si>
    <t xml:space="preserve">doordash driver pov ebike</t>
  </si>
  <si>
    <t xml:space="preserve">DoorDash door encounters</t>
  </si>
  <si>
    <t xml:space="preserve">ubereats delivery pov ebike</t>
  </si>
  <si>
    <t xml:space="preserve">UberEats door encounters</t>
  </si>
  <si>
    <t xml:space="preserve">doordash pov ebike city</t>
  </si>
  <si>
    <t xml:space="preserve">City delivery = more glass doors</t>
  </si>
  <si>
    <t xml:space="preserve">grubhub delivery pov</t>
  </si>
  <si>
    <t xml:space="preserve">Grubhub deliveries</t>
  </si>
  <si>
    <t xml:space="preserve">instacart delivery pov</t>
  </si>
  <si>
    <t xml:space="preserve">Instacart = store + door</t>
  </si>
  <si>
    <t xml:space="preserve">delivery pov gopro</t>
  </si>
  <si>
    <t xml:space="preserve">Generic delivery POV</t>
  </si>
  <si>
    <t xml:space="preserve">courier pov office delivery</t>
  </si>
  <si>
    <t xml:space="preserve">Office delivery = glass doors</t>
  </si>
  <si>
    <t xml:space="preserve">amazon delivery driver pov</t>
  </si>
  <si>
    <t xml:space="preserve">Amazon door drops</t>
  </si>
  <si>
    <t xml:space="preserve">fedex delivery driver pov</t>
  </si>
  <si>
    <t xml:space="preserve">FedEx door encounters</t>
  </si>
  <si>
    <t xml:space="preserve">ups driver ride along</t>
  </si>
  <si>
    <t xml:space="preserve">UPS door deliveries</t>
  </si>
  <si>
    <t xml:space="preserve">pizza delivery driver pov</t>
  </si>
  <si>
    <t xml:space="preserve">Pizza delivery doors</t>
  </si>
  <si>
    <t xml:space="preserve">postmates delivery pov</t>
  </si>
  <si>
    <t xml:space="preserve">Postmates deliveries</t>
  </si>
  <si>
    <t xml:space="preserve">1st amendment audit public lobby</t>
  </si>
  <si>
    <t xml:space="preserve">Audit</t>
  </si>
  <si>
    <t xml:space="preserve">Audits = filming inside public buildings</t>
  </si>
  <si>
    <t xml:space="preserve">1st amendment audit post office</t>
  </si>
  <si>
    <t xml:space="preserve">Post office doors</t>
  </si>
  <si>
    <t xml:space="preserve">1st amendment audit city hall</t>
  </si>
  <si>
    <t xml:space="preserve">City hall glass doors</t>
  </si>
  <si>
    <t xml:space="preserve">1st amendment audit police station</t>
  </si>
  <si>
    <t xml:space="preserve">Police station doors</t>
  </si>
  <si>
    <t xml:space="preserve">1st amendment audit courthouse</t>
  </si>
  <si>
    <t xml:space="preserve">Courthouse entrance doors</t>
  </si>
  <si>
    <t xml:space="preserve">1st amendment audit library</t>
  </si>
  <si>
    <t xml:space="preserve">Library glass entrances</t>
  </si>
  <si>
    <t xml:space="preserve">1st amendment audit dmv</t>
  </si>
  <si>
    <t xml:space="preserve">DMV doors</t>
  </si>
  <si>
    <t xml:space="preserve">1st amendment audit social security office</t>
  </si>
  <si>
    <t xml:space="preserve">SSA office doors</t>
  </si>
  <si>
    <t xml:space="preserve">1st amendment audit federal building</t>
  </si>
  <si>
    <t xml:space="preserve">Federal building security doors</t>
  </si>
  <si>
    <t xml:space="preserve">post office audit filming</t>
  </si>
  <si>
    <t xml:space="preserve">Post office filming</t>
  </si>
  <si>
    <t xml:space="preserve">bodycam footage entering house</t>
  </si>
  <si>
    <t xml:space="preserve">Bodycam</t>
  </si>
  <si>
    <t xml:space="preserve">Bodycam = door entry</t>
  </si>
  <si>
    <t xml:space="preserve">police door breach footage</t>
  </si>
  <si>
    <t xml:space="preserve">Door breach = door focused</t>
  </si>
  <si>
    <t xml:space="preserve">real estate agent house tour</t>
  </si>
  <si>
    <t xml:space="preserve">RE POV</t>
  </si>
  <si>
    <t xml:space="preserve">RE agent walking through doors</t>
  </si>
  <si>
    <t xml:space="preserve">home inspection walkthrough</t>
  </si>
  <si>
    <t xml:space="preserve">Home inspection = all doors</t>
  </si>
  <si>
    <t xml:space="preserve">mover pov moving day</t>
  </si>
  <si>
    <t xml:space="preserve">Moving</t>
  </si>
  <si>
    <t xml:space="preserve">Moving = carrying through doors</t>
  </si>
  <si>
    <t xml:space="preserve">valet pov hotel</t>
  </si>
  <si>
    <t xml:space="preserve">Hospitality</t>
  </si>
  <si>
    <t xml:space="preserve">Hotel entrance POV</t>
  </si>
  <si>
    <t xml:space="preserve">gopro chest mount city walk</t>
  </si>
  <si>
    <t xml:space="preserve">GoPro</t>
  </si>
  <si>
    <t xml:space="preserve">City walk entering stores</t>
  </si>
  <si>
    <t xml:space="preserve">day in the life security guard</t>
  </si>
  <si>
    <t xml:space="preserve">Security = door patrols</t>
  </si>
  <si>
    <t xml:space="preserve">janitor day in the life</t>
  </si>
  <si>
    <t xml:space="preserve">Janitorial = many doors</t>
  </si>
  <si>
    <t xml:space="preserve">mall cop day in the life</t>
  </si>
  <si>
    <t xml:space="preserve">Mall security patrols</t>
  </si>
  <si>
    <t xml:space="preserve">paramedic pov ambulance</t>
  </si>
  <si>
    <t xml:space="preserve">Emergency</t>
  </si>
  <si>
    <t xml:space="preserve">Entering hospital doors</t>
  </si>
  <si>
    <t xml:space="preserve">firefighter pov entering building</t>
  </si>
  <si>
    <t xml:space="preserve">Fire entry = door footage</t>
  </si>
  <si>
    <t xml:space="preserve">hotel housekeeper day in the life</t>
  </si>
  <si>
    <t xml:space="preserve">Hotel room doors</t>
  </si>
  <si>
    <t xml:space="preserve">restaurant server pov</t>
  </si>
  <si>
    <t xml:space="preserve">Food Service</t>
  </si>
  <si>
    <t xml:space="preserve">Kitchen doors, entry</t>
  </si>
  <si>
    <t xml:space="preserve">bartender pov busy night</t>
  </si>
  <si>
    <t xml:space="preserve">Bar entrance doors</t>
  </si>
  <si>
    <t xml:space="preserve">uber driver rideshare pov</t>
  </si>
  <si>
    <t xml:space="preserve">Rideshare</t>
  </si>
  <si>
    <t xml:space="preserve">Occasional building doors</t>
  </si>
  <si>
    <t xml:space="preserve">mystery shopper pov store visit</t>
  </si>
  <si>
    <t xml:space="preserve">Mystery shop = entering stores</t>
  </si>
  <si>
    <t xml:space="preserve">P6-P12: REAL ESTATE, TECHNICAL, TRANSIT, RETAIL, LIVE CAMS, FAILS, RESIDENTIAL</t>
  </si>
  <si>
    <t xml:space="preserve">luxury penthouse tour nyc</t>
  </si>
  <si>
    <t xml:space="preserve">P6 Real Estate</t>
  </si>
  <si>
    <t xml:space="preserve">Modern glass doors/walls</t>
  </si>
  <si>
    <t xml:space="preserve">modern home tour sliding glass doors</t>
  </si>
  <si>
    <t xml:space="preserve">Modern home glass doors</t>
  </si>
  <si>
    <t xml:space="preserve">million dollar house tour</t>
  </si>
  <si>
    <t xml:space="preserve">Luxury home doors</t>
  </si>
  <si>
    <t xml:space="preserve">tiny house tour interior</t>
  </si>
  <si>
    <t xml:space="preserve">Small space doors</t>
  </si>
  <si>
    <t xml:space="preserve">apartment tour new york</t>
  </si>
  <si>
    <t xml:space="preserve">Apartment doors</t>
  </si>
  <si>
    <t xml:space="preserve">office for sale walkthrough</t>
  </si>
  <si>
    <t xml:space="preserve">Office space doors</t>
  </si>
  <si>
    <t xml:space="preserve">office space for rent tour</t>
  </si>
  <si>
    <t xml:space="preserve">Rental office doors</t>
  </si>
  <si>
    <t xml:space="preserve">commercial property tour</t>
  </si>
  <si>
    <t xml:space="preserve">Commercial glass fronts</t>
  </si>
  <si>
    <t xml:space="preserve">open house tour 4k</t>
  </si>
  <si>
    <t xml:space="preserve">Open house = all doors shown</t>
  </si>
  <si>
    <t xml:space="preserve">before after home renovation</t>
  </si>
  <si>
    <t xml:space="preserve">Renovation = new doors</t>
  </si>
  <si>
    <t xml:space="preserve">new construction home tour</t>
  </si>
  <si>
    <t xml:space="preserve">New build doors</t>
  </si>
  <si>
    <t xml:space="preserve">model home tour 2024</t>
  </si>
  <si>
    <t xml:space="preserve">Model home doors</t>
  </si>
  <si>
    <t xml:space="preserve">P7 Technical</t>
  </si>
  <si>
    <t xml:space="preserve">Full install = door focused</t>
  </si>
  <si>
    <t xml:space="preserve">dorma automatic door installation</t>
  </si>
  <si>
    <t xml:space="preserve">Brand-specific install</t>
  </si>
  <si>
    <t xml:space="preserve">assa abloy automatic door</t>
  </si>
  <si>
    <t xml:space="preserve">ASSA ABLOY doors</t>
  </si>
  <si>
    <t xml:space="preserve">stanley automatic door installation</t>
  </si>
  <si>
    <t xml:space="preserve">Stanley doors</t>
  </si>
  <si>
    <t xml:space="preserve">besam automatic sliding door</t>
  </si>
  <si>
    <t xml:space="preserve">BESAM doors</t>
  </si>
  <si>
    <t xml:space="preserve">record automatic door system</t>
  </si>
  <si>
    <t xml:space="preserve">Record brand doors</t>
  </si>
  <si>
    <t xml:space="preserve">geze automatic door system</t>
  </si>
  <si>
    <t xml:space="preserve">GEZE brand doors</t>
  </si>
  <si>
    <t xml:space="preserve">automatic door closer installation</t>
  </si>
  <si>
    <t xml:space="preserve">Door closer mechanism</t>
  </si>
  <si>
    <t xml:space="preserve">door access control system installation</t>
  </si>
  <si>
    <t xml:space="preserve">Access control + door</t>
  </si>
  <si>
    <t xml:space="preserve">magnetic door lock installation</t>
  </si>
  <si>
    <t xml:space="preserve">Mag lock = door visible</t>
  </si>
  <si>
    <t xml:space="preserve">glass partition wall installation</t>
  </si>
  <si>
    <t xml:space="preserve">Glass partition install</t>
  </si>
  <si>
    <t xml:space="preserve">curtain wall installation glass</t>
  </si>
  <si>
    <t xml:space="preserve">Curtain wall glass</t>
  </si>
  <si>
    <t xml:space="preserve">storefront aluminum framing installation</t>
  </si>
  <si>
    <t xml:space="preserve">Storefront frame + glass</t>
  </si>
  <si>
    <t xml:space="preserve">tokyo metro station walkthrough</t>
  </si>
  <si>
    <t xml:space="preserve">P8 Transit</t>
  </si>
  <si>
    <t xml:space="preserve">Platform screen doors</t>
  </si>
  <si>
    <t xml:space="preserve">london underground station tour</t>
  </si>
  <si>
    <t xml:space="preserve">Tube station doors</t>
  </si>
  <si>
    <t xml:space="preserve">dubai metro walkthrough</t>
  </si>
  <si>
    <t xml:space="preserve">Dubai metro glass</t>
  </si>
  <si>
    <t xml:space="preserve">singapore mrt station tour</t>
  </si>
  <si>
    <t xml:space="preserve">MRT platform doors</t>
  </si>
  <si>
    <t xml:space="preserve">hong kong mtr walkthrough</t>
  </si>
  <si>
    <t xml:space="preserve">MTR platform doors</t>
  </si>
  <si>
    <t xml:space="preserve">paris metro station tour</t>
  </si>
  <si>
    <t xml:space="preserve">Paris metro doors</t>
  </si>
  <si>
    <t xml:space="preserve">seoul subway walkthrough</t>
  </si>
  <si>
    <t xml:space="preserve">Seoul platform doors</t>
  </si>
  <si>
    <t xml:space="preserve">airport security checkpoint walkthrough</t>
  </si>
  <si>
    <t xml:space="preserve">Security glass barriers</t>
  </si>
  <si>
    <t xml:space="preserve">immigration checkpoint airport</t>
  </si>
  <si>
    <t xml:space="preserve">Immigration glass booths</t>
  </si>
  <si>
    <t xml:space="preserve">cruise terminal embarkation walkthrough</t>
  </si>
  <si>
    <t xml:space="preserve">Terminal glass doors</t>
  </si>
  <si>
    <t xml:space="preserve">bus station walkthrough</t>
  </si>
  <si>
    <t xml:space="preserve">Bus terminal doors</t>
  </si>
  <si>
    <t xml:space="preserve">high speed rail station tour</t>
  </si>
  <si>
    <t xml:space="preserve">HSR platform doors</t>
  </si>
  <si>
    <t xml:space="preserve">store opening day queue</t>
  </si>
  <si>
    <t xml:space="preserve">P9 Retail</t>
  </si>
  <si>
    <t xml:space="preserve">Store opening = entrance focus</t>
  </si>
  <si>
    <t xml:space="preserve">black friday store opening</t>
  </si>
  <si>
    <t xml:space="preserve">Black friday = glass door chaos</t>
  </si>
  <si>
    <t xml:space="preserve">new store opening grand opening</t>
  </si>
  <si>
    <t xml:space="preserve">Grand opening = entrance</t>
  </si>
  <si>
    <t xml:space="preserve">shop fitting out process timelapse</t>
  </si>
  <si>
    <t xml:space="preserve">Shop fitting = door install</t>
  </si>
  <si>
    <t xml:space="preserve">retail store layout design tour</t>
  </si>
  <si>
    <t xml:space="preserve">Store design = glass elements</t>
  </si>
  <si>
    <t xml:space="preserve">pop up shop tour</t>
  </si>
  <si>
    <t xml:space="preserve">Pop-up shop glass</t>
  </si>
  <si>
    <t xml:space="preserve">restaurant walkthrough tour</t>
  </si>
  <si>
    <t xml:space="preserve">Restaurant entrance doors</t>
  </si>
  <si>
    <t xml:space="preserve">cafe shop tour</t>
  </si>
  <si>
    <t xml:space="preserve">Cafe glass fronts</t>
  </si>
  <si>
    <t xml:space="preserve">barbershop tour setup</t>
  </si>
  <si>
    <t xml:space="preserve">Barbershop glass front</t>
  </si>
  <si>
    <t xml:space="preserve">salon tour interior design</t>
  </si>
  <si>
    <t xml:space="preserve">Salon glass entrance</t>
  </si>
  <si>
    <t xml:space="preserve">jewelry store walkthrough</t>
  </si>
  <si>
    <t xml:space="preserve">Jewelry = security glass</t>
  </si>
  <si>
    <t xml:space="preserve">bank branch tour</t>
  </si>
  <si>
    <t xml:space="preserve">Bank glass doors/partitions</t>
  </si>
  <si>
    <t xml:space="preserve">live cam times square new york</t>
  </si>
  <si>
    <t xml:space="preserve">P10 Live Cam</t>
  </si>
  <si>
    <t xml:space="preserve">Street cam — storefronts visible</t>
  </si>
  <si>
    <t xml:space="preserve">live cam shibuya crossing tokyo</t>
  </si>
  <si>
    <t xml:space="preserve">Shibuya stores visible</t>
  </si>
  <si>
    <t xml:space="preserve">live cam bourbon street new orleans</t>
  </si>
  <si>
    <t xml:space="preserve">Bar entrances visible</t>
  </si>
  <si>
    <t xml:space="preserve">live cam las vegas strip</t>
  </si>
  <si>
    <t xml:space="preserve">Casino entrances</t>
  </si>
  <si>
    <t xml:space="preserve">live cam miami beach</t>
  </si>
  <si>
    <t xml:space="preserve">Hotel/shop entrances</t>
  </si>
  <si>
    <t xml:space="preserve">live cam hong kong street</t>
  </si>
  <si>
    <t xml:space="preserve">Dense shop fronts</t>
  </si>
  <si>
    <t xml:space="preserve">live cam seoul gangnam</t>
  </si>
  <si>
    <t xml:space="preserve">Korean shopfronts</t>
  </si>
  <si>
    <t xml:space="preserve">live cam london oxford street</t>
  </si>
  <si>
    <t xml:space="preserve">Oxford St stores</t>
  </si>
  <si>
    <t xml:space="preserve">earthcam live stream city</t>
  </si>
  <si>
    <t xml:space="preserve">EarthCam = various cities</t>
  </si>
  <si>
    <t xml:space="preserve">live webcam shopping street</t>
  </si>
  <si>
    <t xml:space="preserve">Shopping street cams</t>
  </si>
  <si>
    <t xml:space="preserve">live cam train station</t>
  </si>
  <si>
    <t xml:space="preserve">Station doors visible</t>
  </si>
  <si>
    <t xml:space="preserve">live cam airport terminal</t>
  </si>
  <si>
    <t xml:space="preserve">Airport door streams</t>
  </si>
  <si>
    <t xml:space="preserve">insecam live feed entrance</t>
  </si>
  <si>
    <t xml:space="preserve">Insecam = building entrances</t>
  </si>
  <si>
    <t xml:space="preserve">glass door fail compilation</t>
  </si>
  <si>
    <t xml:space="preserve">P11 Fails</t>
  </si>
  <si>
    <t xml:space="preserve">Glass door is the subject!</t>
  </si>
  <si>
    <t xml:space="preserve">people walking into glass doors</t>
  </si>
  <si>
    <t xml:space="preserve">Glass door collisions</t>
  </si>
  <si>
    <t xml:space="preserve">sliding door fail compilation</t>
  </si>
  <si>
    <t xml:space="preserve">Sliding door fails</t>
  </si>
  <si>
    <t xml:space="preserve">automatic door malfunction compilation</t>
  </si>
  <si>
    <t xml:space="preserve">Door malfunction = door in frame</t>
  </si>
  <si>
    <t xml:space="preserve">revolving door fails compilation</t>
  </si>
  <si>
    <t xml:space="preserve">Revolving door fails</t>
  </si>
  <si>
    <t xml:space="preserve">door fails funny compilation</t>
  </si>
  <si>
    <t xml:space="preserve">Mixed door fails</t>
  </si>
  <si>
    <t xml:space="preserve">glass break compilation</t>
  </si>
  <si>
    <t xml:space="preserve">Glass breaking = glass door possible</t>
  </si>
  <si>
    <t xml:space="preserve">door prank compilation</t>
  </si>
  <si>
    <t xml:space="preserve">Door pranks</t>
  </si>
  <si>
    <t xml:space="preserve">front door replacement installation</t>
  </si>
  <si>
    <t xml:space="preserve">P12 Residential</t>
  </si>
  <si>
    <t xml:space="preserve">Front door install</t>
  </si>
  <si>
    <t xml:space="preserve">patio door installation how to</t>
  </si>
  <si>
    <t xml:space="preserve">Patio door install</t>
  </si>
  <si>
    <t xml:space="preserve">sliding patio door replacement</t>
  </si>
  <si>
    <t xml:space="preserve">Sliding patio replacement</t>
  </si>
  <si>
    <t xml:space="preserve">french door installation</t>
  </si>
  <si>
    <t xml:space="preserve">French door install</t>
  </si>
  <si>
    <t xml:space="preserve">barn door installation diy</t>
  </si>
  <si>
    <t xml:space="preserve">Barn door style</t>
  </si>
  <si>
    <t xml:space="preserve">garage door opener installation</t>
  </si>
  <si>
    <t xml:space="preserve">Garage door</t>
  </si>
  <si>
    <t xml:space="preserve">screen door installation</t>
  </si>
  <si>
    <t xml:space="preserve">Screen door</t>
  </si>
  <si>
    <t xml:space="preserve">smart lock door installation</t>
  </si>
  <si>
    <t xml:space="preserve">Smart lock = door in frame</t>
  </si>
  <si>
    <t xml:space="preserve">interior door replacement</t>
  </si>
  <si>
    <t xml:space="preserve">Interior door replacement</t>
  </si>
  <si>
    <t xml:space="preserve">pocket door installation</t>
  </si>
  <si>
    <t xml:space="preserve">Pocket door</t>
  </si>
  <si>
    <t xml:space="preserve">bifold closet door installation</t>
  </si>
  <si>
    <t xml:space="preserve">Bifold closet</t>
  </si>
  <si>
    <t xml:space="preserve">PUBLIC LIVE CAMERA SOURCES FOR DOOR DATA COLLECTION</t>
  </si>
  <si>
    <t xml:space="preserve">Source / Platform</t>
  </si>
  <si>
    <t xml:space="preserve">Type</t>
  </si>
  <si>
    <t xml:space="preserve">Door Relevance</t>
  </si>
  <si>
    <t xml:space="preserve">How to Use</t>
  </si>
  <si>
    <t xml:space="preserve">EarthCam (earthcam.com)</t>
  </si>
  <si>
    <t xml:space="preserve">Aggregator</t>
  </si>
  <si>
    <t xml:space="preserve">Search YouTube for 'EarthCam live' — many show city streets with storefronts</t>
  </si>
  <si>
    <t xml:space="preserve">Times Square, Dublin, etc. have door-visible angles</t>
  </si>
  <si>
    <t xml:space="preserve">Insecam (insecam.org)</t>
  </si>
  <si>
    <t xml:space="preserve">IP Cam Dir</t>
  </si>
  <si>
    <t xml:space="preserve">Browse by category (indoor/outdoor) — many show building entrances, lobbies</t>
  </si>
  <si>
    <t xml:space="preserve">Use 'indoor' filter for office/lobby cameras with doors</t>
  </si>
  <si>
    <t xml:space="preserve">SkylineWebcams</t>
  </si>
  <si>
    <t xml:space="preserve">Browse city/shopping webcams on YouTube channels</t>
  </si>
  <si>
    <t xml:space="preserve">Shopping street cams show storefronts</t>
  </si>
  <si>
    <t xml:space="preserve">WebcamTaxi</t>
  </si>
  <si>
    <t xml:space="preserve">Shopping mall/city categories have door-visible cams</t>
  </si>
  <si>
    <t xml:space="preserve">Filter by 'shopping' category</t>
  </si>
  <si>
    <t xml:space="preserve">YouTube Live: 'live cam city street'</t>
  </si>
  <si>
    <t xml:space="preserve">YouTube Live</t>
  </si>
  <si>
    <t xml:space="preserve">Search YouTube for live streams of city streets</t>
  </si>
  <si>
    <t xml:space="preserve">Filter by 'Live' to find active streams</t>
  </si>
  <si>
    <t xml:space="preserve">YouTube Live: 'live cam store entrance'</t>
  </si>
  <si>
    <t xml:space="preserve">Search for store/building entrance live feeds</t>
  </si>
  <si>
    <t xml:space="preserve">Some stores stream their entrance cam</t>
  </si>
  <si>
    <t xml:space="preserve">YouTube Live: 'live cam train station'</t>
  </si>
  <si>
    <t xml:space="preserve">Train station cams show platform doors, gates</t>
  </si>
  <si>
    <t xml:space="preserve">Tokyo/Seoul stations have glass platform doors</t>
  </si>
  <si>
    <t xml:space="preserve">YouTube Live: 'CCTV live feed'</t>
  </si>
  <si>
    <t xml:space="preserve">CCTV feeds streamed to YouTube</t>
  </si>
  <si>
    <t xml:space="preserve">Some show building entrance angles</t>
  </si>
  <si>
    <t xml:space="preserve">YouTube: '24/7 live cam' + city name</t>
  </si>
  <si>
    <t xml:space="preserve">24/7 city cam channels — record frames with doors</t>
  </si>
  <si>
    <t xml:space="preserve">NYC, Tokyo, Seoul, London popular</t>
  </si>
  <si>
    <t xml:space="preserve">YouTube: 'live webcam airport'</t>
  </si>
  <si>
    <t xml:space="preserve">Airport webcam streams show terminal doors</t>
  </si>
  <si>
    <t xml:space="preserve">Check for arrival/departure area cams</t>
  </si>
  <si>
    <t xml:space="preserve">CCTV Camera World YouTube Channel</t>
  </si>
  <si>
    <t xml:space="preserve">Demo footage from their cameras — many show entrances</t>
  </si>
  <si>
    <t xml:space="preserve">Their demo reels include building entrance shots</t>
  </si>
  <si>
    <t xml:space="preserve">Reolink YouTube Channel</t>
  </si>
  <si>
    <t xml:space="preserve">Camera demo footage showing doors/entrances</t>
  </si>
  <si>
    <t xml:space="preserve">Product demos with outdoor entrance views</t>
  </si>
  <si>
    <t xml:space="preserve">YouTube: 'security camera test footage'</t>
  </si>
  <si>
    <t xml:space="preserve">Test/Demo</t>
  </si>
  <si>
    <t xml:space="preserve">Camera review channels test at entrances</t>
  </si>
  <si>
    <t xml:space="preserve">Reviewer test footage at storefronts</t>
  </si>
  <si>
    <t xml:space="preserve">YouTube: 'ring doorbell time lapse'</t>
  </si>
  <si>
    <t xml:space="preserve">Doorbell camera time-lapses = front door in every frame</t>
  </si>
  <si>
    <t xml:space="preserve">High yield — door is always the subject</t>
  </si>
  <si>
    <t xml:space="preserve">YouTube: 'nest hello doorbell footage'</t>
  </si>
  <si>
    <t xml:space="preserve">Nest doorbell footage compilations</t>
  </si>
  <si>
    <t xml:space="preserve">Door always in frame</t>
  </si>
  <si>
    <t xml:space="preserve">CamStreamer Gallery (camstreamer.com)</t>
  </si>
  <si>
    <t xml:space="preserve">Browse buildings/constructions category</t>
  </si>
  <si>
    <t xml:space="preserve">Some cameras face building entrances</t>
  </si>
  <si>
    <t xml:space="preserve">YouTube: 'japanese convenience store ambience'</t>
  </si>
  <si>
    <t xml:space="preserve">Ambience</t>
  </si>
  <si>
    <t xml:space="preserve">Japanese konbini ambience videos — glass doors, entrance shots</t>
  </si>
  <si>
    <t xml:space="preserve">Glass door entry/exit throughout video</t>
  </si>
  <si>
    <t xml:space="preserve">YouTube: 'cafe ambience rain window'</t>
  </si>
  <si>
    <t xml:space="preserve">Cafe ambience often shows glass storefront/window/door</t>
  </si>
  <si>
    <t xml:space="preserve">Glass door visible in background</t>
  </si>
  <si>
    <t xml:space="preserve">YouTube: 'city rain walk asmr'</t>
  </si>
  <si>
    <t xml:space="preserve">ASMR Walk</t>
  </si>
  <si>
    <t xml:space="preserve">Rain walk = passing storefronts with glass doors</t>
  </si>
  <si>
    <t xml:space="preserve">Nighttime = reflective glass more visible</t>
  </si>
  <si>
    <t xml:space="preserve">DATA DIVERSITY &amp; QUALITY STRATEGY</t>
  </si>
  <si>
    <t xml:space="preserve">Diversity Dimension</t>
  </si>
  <si>
    <t xml:space="preserve">Target Mix</t>
  </si>
  <si>
    <t xml:space="preserve">Search Strategy</t>
  </si>
  <si>
    <t xml:space="preserve">Why It Matters</t>
  </si>
  <si>
    <t xml:space="preserve">Camera Angle</t>
  </si>
  <si>
    <t xml:space="preserve">Eye-level 40%, High-angle/CCTV 30%, Low-angle 10%, POV 20%</t>
  </si>
  <si>
    <t xml:space="preserve">CCTV=high angle, Walking tour=eye level, Delivery=POV, Drone=aerial</t>
  </si>
  <si>
    <t xml:space="preserve">Model must detect doors from all angles</t>
  </si>
  <si>
    <t xml:space="preserve">Door Type</t>
  </si>
  <si>
    <t xml:space="preserve">Glass sliding 35%, Glass swing 20%, Revolving 10%, Roll-up 10%, Residential 15%, Other 10%</t>
  </si>
  <si>
    <t xml:space="preserve">Priority on glass via P1/P2, warehouse for roll-up, residential for standard</t>
  </si>
  <si>
    <t xml:space="preserve">Coverage of all door types in deployment</t>
  </si>
  <si>
    <t xml:space="preserve">Lighting</t>
  </si>
  <si>
    <t xml:space="preserve">Daylight 50%, Indoor 30%, Night/Low-light 15%, IR/Night-vision 5%</t>
  </si>
  <si>
    <t xml:space="preserve">Live cams for night, CCTV for IR, walking tours for daylight</t>
  </si>
  <si>
    <t xml:space="preserve">Model robustness to lighting conditions</t>
  </si>
  <si>
    <t xml:space="preserve">Resolution</t>
  </si>
  <si>
    <t xml:space="preserve">4K 30%, 1080p 40%, 720p/lower 20%, CCTV-grade 10%</t>
  </si>
  <si>
    <t xml:space="preserve">4K walking tours for high-res, CCTV for low-res diversity</t>
  </si>
  <si>
    <t xml:space="preserve">Handle variable input quality</t>
  </si>
  <si>
    <t xml:space="preserve">Geography</t>
  </si>
  <si>
    <t xml:space="preserve">US/Canada 30%, Europe 25%, Asia 30%, Other 15%</t>
  </si>
  <si>
    <t xml:space="preserve">City walking tours across continents, MRT/metro for Asia, audit for US</t>
  </si>
  <si>
    <t xml:space="preserve">Door styles vary by region</t>
  </si>
  <si>
    <t xml:space="preserve">Door State</t>
  </si>
  <si>
    <t xml:space="preserve">Open 30%, Closed 40%, In-motion 20%, Partially open 10%</t>
  </si>
  <si>
    <t xml:space="preserve">Automatic doors for in-motion, installation for closed, walking for open</t>
  </si>
  <si>
    <t xml:space="preserve">Detect doors in all states</t>
  </si>
  <si>
    <t xml:space="preserve">Occlusion</t>
  </si>
  <si>
    <t xml:space="preserve">Clean view 50%, Partial occlusion 30%, Heavy occlusion 20%</t>
  </si>
  <si>
    <t xml:space="preserve">Direct search for clean, crowd scenes for occlusion, CCTV for partial</t>
  </si>
  <si>
    <t xml:space="preserve">Handle real-world occlusion</t>
  </si>
  <si>
    <t xml:space="preserve">Setting</t>
  </si>
  <si>
    <t xml:space="preserve">Commercial 40%, Residential 15%, Industrial 20%, Transit 15%, Outdoor 10%</t>
  </si>
  <si>
    <t xml:space="preserve">Follow priority weighting: glass &gt; CCTV &gt; warehouse</t>
  </si>
  <si>
    <t xml:space="preserve">Coverage across deployment scenarios</t>
  </si>
  <si>
    <t xml:space="preserve">Weather</t>
  </si>
  <si>
    <t xml:space="preserve">Clear 60%, Rain 15%, Night 15%, Snow 5%, Fog 5%</t>
  </si>
  <si>
    <t xml:space="preserve">Rain walk ASMR, night city tours, winter city walks</t>
  </si>
  <si>
    <t xml:space="preserve">Handle weather-related visual changes</t>
  </si>
  <si>
    <t xml:space="preserve">Distance</t>
  </si>
  <si>
    <t xml:space="preserve">Close (&lt;3m) 30%, Medium (3-10m) 40%, Far (&gt;10m) 20%, Very far 10%</t>
  </si>
  <si>
    <t xml:space="preserve">Install videos for close, tours for medium, CCTV/live for far</t>
  </si>
  <si>
    <t xml:space="preserve">Multi-scale detection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</si>
</sst>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0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sz val="9"/>
      <color rgb="FF555555"/>
      <name val="Cambria"/>
      <family val="0"/>
      <charset val="1"/>
    </font>
    <font>
      <sz val="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3B66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rgb="FF0D3B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D3B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100000</v>
      </c>
    </row>
    <row r="5" customFormat="false" ht="15" hidden="false" customHeight="false" outlineLevel="0" collapsed="false">
      <c r="A5" s="3" t="s">
        <v>3</v>
      </c>
      <c r="B5" s="5" t="n">
        <v>0.175</v>
      </c>
    </row>
    <row r="6" customFormat="false" ht="15" hidden="false" customHeight="false" outlineLevel="0" collapsed="false">
      <c r="A6" s="3" t="s">
        <v>4</v>
      </c>
      <c r="B6" s="5" t="n">
        <v>0.35</v>
      </c>
    </row>
    <row r="7" customFormat="false" ht="15" hidden="false" customHeight="false" outlineLevel="0" collapsed="false">
      <c r="A7" s="3" t="s">
        <v>5</v>
      </c>
      <c r="B7" s="6" t="n">
        <f aca="false">ROUND(B4/B6,0)</f>
        <v>285714</v>
      </c>
    </row>
    <row r="8" customFormat="false" ht="15" hidden="false" customHeight="false" outlineLevel="0" collapsed="false">
      <c r="A8" s="3" t="s">
        <v>6</v>
      </c>
      <c r="B8" s="4" t="n">
        <v>450</v>
      </c>
    </row>
    <row r="9" customFormat="false" ht="15" hidden="false" customHeight="false" outlineLevel="0" collapsed="false">
      <c r="A9" s="3" t="s">
        <v>7</v>
      </c>
      <c r="B9" s="4" t="n">
        <v>50</v>
      </c>
    </row>
    <row r="10" customFormat="false" ht="15" hidden="false" customHeight="false" outlineLevel="0" collapsed="false">
      <c r="A10" s="3" t="s">
        <v>8</v>
      </c>
      <c r="B10" s="6" t="n">
        <f aca="false">B8*B9</f>
        <v>22500</v>
      </c>
    </row>
    <row r="13" customFormat="false" ht="15" hidden="false" customHeight="false" outlineLevel="0" collapsed="false">
      <c r="A13" s="2" t="s">
        <v>9</v>
      </c>
    </row>
    <row r="14" customFormat="false" ht="28.35" hidden="false" customHeight="false" outlineLevel="0" collapsed="false">
      <c r="A14" s="7" t="s">
        <v>10</v>
      </c>
      <c r="B14" s="7" t="s">
        <v>11</v>
      </c>
      <c r="C14" s="7" t="s">
        <v>12</v>
      </c>
      <c r="D14" s="7" t="s">
        <v>13</v>
      </c>
      <c r="E14" s="7" t="s">
        <v>14</v>
      </c>
      <c r="F14" s="7" t="s">
        <v>15</v>
      </c>
      <c r="G14" s="7" t="s">
        <v>16</v>
      </c>
    </row>
    <row r="15" customFormat="false" ht="15" hidden="false" customHeight="false" outlineLevel="0" collapsed="false">
      <c r="A15" s="8" t="s">
        <v>17</v>
      </c>
      <c r="B15" s="8" t="s">
        <v>18</v>
      </c>
      <c r="C15" s="9" t="n">
        <v>65</v>
      </c>
      <c r="D15" s="9" t="n">
        <v>4500</v>
      </c>
      <c r="E15" s="10" t="n">
        <v>0.5</v>
      </c>
      <c r="F15" s="11" t="n">
        <f aca="false">D15*E15</f>
        <v>2250</v>
      </c>
      <c r="G15" s="10" t="n">
        <f aca="false">F15/100000</f>
        <v>0.0225</v>
      </c>
    </row>
    <row r="16" customFormat="false" ht="15" hidden="false" customHeight="false" outlineLevel="0" collapsed="false">
      <c r="A16" s="8" t="s">
        <v>19</v>
      </c>
      <c r="B16" s="8" t="s">
        <v>18</v>
      </c>
      <c r="C16" s="9" t="n">
        <v>55</v>
      </c>
      <c r="D16" s="9" t="n">
        <v>6000</v>
      </c>
      <c r="E16" s="10" t="n">
        <v>0.4</v>
      </c>
      <c r="F16" s="11" t="n">
        <f aca="false">D16*E16</f>
        <v>2400</v>
      </c>
      <c r="G16" s="10" t="n">
        <f aca="false">F16/100000</f>
        <v>0.024</v>
      </c>
    </row>
    <row r="17" customFormat="false" ht="15" hidden="false" customHeight="false" outlineLevel="0" collapsed="false">
      <c r="A17" s="8" t="s">
        <v>20</v>
      </c>
      <c r="B17" s="8" t="s">
        <v>21</v>
      </c>
      <c r="C17" s="9" t="n">
        <v>50</v>
      </c>
      <c r="D17" s="9" t="n">
        <v>5000</v>
      </c>
      <c r="E17" s="10" t="n">
        <v>0.3</v>
      </c>
      <c r="F17" s="11" t="n">
        <f aca="false">D17*E17</f>
        <v>1500</v>
      </c>
      <c r="G17" s="10" t="n">
        <f aca="false">F17/100000</f>
        <v>0.015</v>
      </c>
    </row>
    <row r="18" customFormat="false" ht="15" hidden="false" customHeight="false" outlineLevel="0" collapsed="false">
      <c r="A18" s="8" t="s">
        <v>22</v>
      </c>
      <c r="B18" s="8" t="s">
        <v>21</v>
      </c>
      <c r="C18" s="9" t="n">
        <v>45</v>
      </c>
      <c r="D18" s="9" t="n">
        <v>4000</v>
      </c>
      <c r="E18" s="10" t="n">
        <v>0.25</v>
      </c>
      <c r="F18" s="11" t="n">
        <f aca="false">D18*E18</f>
        <v>1000</v>
      </c>
      <c r="G18" s="10" t="n">
        <f aca="false">F18/100000</f>
        <v>0.01</v>
      </c>
    </row>
    <row r="19" customFormat="false" ht="15" hidden="false" customHeight="false" outlineLevel="0" collapsed="false">
      <c r="A19" s="8" t="s">
        <v>23</v>
      </c>
      <c r="B19" s="8" t="s">
        <v>24</v>
      </c>
      <c r="C19" s="9" t="n">
        <v>40</v>
      </c>
      <c r="D19" s="9" t="n">
        <v>4500</v>
      </c>
      <c r="E19" s="10" t="n">
        <v>0.35</v>
      </c>
      <c r="F19" s="11" t="n">
        <f aca="false">D19*E19</f>
        <v>1575</v>
      </c>
      <c r="G19" s="10" t="n">
        <f aca="false">F19/100000</f>
        <v>0.01575</v>
      </c>
    </row>
    <row r="20" customFormat="false" ht="15" hidden="false" customHeight="false" outlineLevel="0" collapsed="false">
      <c r="A20" s="8" t="s">
        <v>25</v>
      </c>
      <c r="B20" s="8" t="s">
        <v>24</v>
      </c>
      <c r="C20" s="9" t="n">
        <v>45</v>
      </c>
      <c r="D20" s="9" t="n">
        <v>4000</v>
      </c>
      <c r="E20" s="10" t="n">
        <v>0.4</v>
      </c>
      <c r="F20" s="11" t="n">
        <f aca="false">D20*E20</f>
        <v>1600</v>
      </c>
      <c r="G20" s="10" t="n">
        <f aca="false">F20/100000</f>
        <v>0.016</v>
      </c>
    </row>
    <row r="21" customFormat="false" ht="15" hidden="false" customHeight="false" outlineLevel="0" collapsed="false">
      <c r="A21" s="8" t="s">
        <v>26</v>
      </c>
      <c r="B21" s="8" t="s">
        <v>27</v>
      </c>
      <c r="C21" s="9" t="n">
        <v>35</v>
      </c>
      <c r="D21" s="9" t="n">
        <v>2500</v>
      </c>
      <c r="E21" s="10" t="n">
        <v>0.55</v>
      </c>
      <c r="F21" s="11" t="n">
        <f aca="false">D21*E21</f>
        <v>1375</v>
      </c>
      <c r="G21" s="10" t="n">
        <f aca="false">F21/100000</f>
        <v>0.01375</v>
      </c>
    </row>
    <row r="22" customFormat="false" ht="15" hidden="false" customHeight="false" outlineLevel="0" collapsed="false">
      <c r="A22" s="8" t="s">
        <v>28</v>
      </c>
      <c r="B22" s="8" t="s">
        <v>21</v>
      </c>
      <c r="C22" s="9" t="n">
        <v>30</v>
      </c>
      <c r="D22" s="9" t="n">
        <v>3000</v>
      </c>
      <c r="E22" s="10" t="n">
        <v>0.45</v>
      </c>
      <c r="F22" s="11" t="n">
        <f aca="false">D22*E22</f>
        <v>1350</v>
      </c>
      <c r="G22" s="10" t="n">
        <f aca="false">F22/100000</f>
        <v>0.0135</v>
      </c>
    </row>
    <row r="23" customFormat="false" ht="15" hidden="false" customHeight="false" outlineLevel="0" collapsed="false">
      <c r="A23" s="8" t="s">
        <v>29</v>
      </c>
      <c r="B23" s="8" t="s">
        <v>24</v>
      </c>
      <c r="C23" s="9" t="n">
        <v>35</v>
      </c>
      <c r="D23" s="9" t="n">
        <v>3500</v>
      </c>
      <c r="E23" s="10" t="n">
        <v>0.35</v>
      </c>
      <c r="F23" s="11" t="n">
        <f aca="false">D23*E23</f>
        <v>1225</v>
      </c>
      <c r="G23" s="10" t="n">
        <f aca="false">F23/100000</f>
        <v>0.01225</v>
      </c>
    </row>
    <row r="24" customFormat="false" ht="15" hidden="false" customHeight="false" outlineLevel="0" collapsed="false">
      <c r="A24" s="8" t="s">
        <v>30</v>
      </c>
      <c r="B24" s="8" t="s">
        <v>21</v>
      </c>
      <c r="C24" s="9" t="n">
        <v>25</v>
      </c>
      <c r="D24" s="9" t="n">
        <v>8000</v>
      </c>
      <c r="E24" s="10" t="n">
        <v>0.2</v>
      </c>
      <c r="F24" s="11" t="n">
        <f aca="false">D24*E24</f>
        <v>1600</v>
      </c>
      <c r="G24" s="10" t="n">
        <f aca="false">F24/100000</f>
        <v>0.016</v>
      </c>
    </row>
    <row r="25" customFormat="false" ht="15" hidden="false" customHeight="false" outlineLevel="0" collapsed="false">
      <c r="A25" s="8" t="s">
        <v>31</v>
      </c>
      <c r="B25" s="8" t="s">
        <v>27</v>
      </c>
      <c r="C25" s="9" t="n">
        <v>20</v>
      </c>
      <c r="D25" s="9" t="n">
        <v>3000</v>
      </c>
      <c r="E25" s="10" t="n">
        <v>0.4</v>
      </c>
      <c r="F25" s="11" t="n">
        <f aca="false">D25*E25</f>
        <v>1200</v>
      </c>
      <c r="G25" s="10" t="n">
        <f aca="false">F25/100000</f>
        <v>0.012</v>
      </c>
    </row>
    <row r="26" customFormat="false" ht="15" hidden="false" customHeight="false" outlineLevel="0" collapsed="false">
      <c r="A26" s="8" t="s">
        <v>32</v>
      </c>
      <c r="B26" s="8" t="s">
        <v>27</v>
      </c>
      <c r="C26" s="9" t="n">
        <v>25</v>
      </c>
      <c r="D26" s="9" t="n">
        <v>2000</v>
      </c>
      <c r="E26" s="10" t="n">
        <v>0.35</v>
      </c>
      <c r="F26" s="11" t="n">
        <f aca="false">D26*E26</f>
        <v>700</v>
      </c>
      <c r="G26" s="10" t="n">
        <f aca="false">F26/100000</f>
        <v>0.007</v>
      </c>
    </row>
    <row r="27" customFormat="false" ht="15" hidden="false" customHeight="false" outlineLevel="0" collapsed="false">
      <c r="A27" s="12" t="s">
        <v>33</v>
      </c>
      <c r="C27" s="13" t="n">
        <f aca="false">SUM(C15:C26)</f>
        <v>470</v>
      </c>
      <c r="D27" s="13" t="n">
        <f aca="false">SUM(D15:D26)</f>
        <v>50000</v>
      </c>
      <c r="F27" s="13" t="n">
        <f aca="false">SUM(F15:F26)</f>
        <v>17775</v>
      </c>
      <c r="G27" s="14" t="n">
        <f aca="false">F27/100000</f>
        <v>0.17775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4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5" t="s">
        <v>34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7" t="s">
        <v>35</v>
      </c>
      <c r="B2" s="7" t="s">
        <v>36</v>
      </c>
      <c r="C2" s="7" t="s">
        <v>13</v>
      </c>
      <c r="D2" s="7" t="s">
        <v>37</v>
      </c>
      <c r="E2" s="7" t="s">
        <v>38</v>
      </c>
      <c r="F2" s="7" t="s">
        <v>39</v>
      </c>
    </row>
    <row r="3" customFormat="false" ht="15" hidden="false" customHeight="false" outlineLevel="0" collapsed="false">
      <c r="A3" s="8" t="s">
        <v>40</v>
      </c>
      <c r="B3" s="8" t="s">
        <v>41</v>
      </c>
      <c r="C3" s="9" t="n">
        <v>80</v>
      </c>
      <c r="D3" s="10" t="n">
        <v>0.6</v>
      </c>
      <c r="E3" s="16" t="s">
        <v>42</v>
      </c>
      <c r="F3" s="17" t="n">
        <f aca="false">C3*D3</f>
        <v>48</v>
      </c>
    </row>
    <row r="4" customFormat="false" ht="15" hidden="false" customHeight="false" outlineLevel="0" collapsed="false">
      <c r="A4" s="8" t="s">
        <v>43</v>
      </c>
      <c r="B4" s="8" t="s">
        <v>41</v>
      </c>
      <c r="C4" s="9" t="n">
        <v>70</v>
      </c>
      <c r="D4" s="10" t="n">
        <v>0.6</v>
      </c>
      <c r="E4" s="16" t="s">
        <v>44</v>
      </c>
      <c r="F4" s="17" t="n">
        <f aca="false">C4*D4</f>
        <v>42</v>
      </c>
    </row>
    <row r="5" customFormat="false" ht="15" hidden="false" customHeight="false" outlineLevel="0" collapsed="false">
      <c r="A5" s="8" t="s">
        <v>45</v>
      </c>
      <c r="B5" s="8" t="s">
        <v>41</v>
      </c>
      <c r="C5" s="9" t="n">
        <v>60</v>
      </c>
      <c r="D5" s="10" t="n">
        <v>0.55</v>
      </c>
      <c r="E5" s="16" t="s">
        <v>46</v>
      </c>
      <c r="F5" s="17" t="n">
        <f aca="false">C5*D5</f>
        <v>33</v>
      </c>
    </row>
    <row r="6" customFormat="false" ht="15" hidden="false" customHeight="false" outlineLevel="0" collapsed="false">
      <c r="A6" s="8" t="s">
        <v>47</v>
      </c>
      <c r="B6" s="8" t="s">
        <v>41</v>
      </c>
      <c r="C6" s="9" t="n">
        <v>40</v>
      </c>
      <c r="D6" s="10" t="n">
        <v>0.65</v>
      </c>
      <c r="E6" s="16" t="s">
        <v>48</v>
      </c>
      <c r="F6" s="17" t="n">
        <f aca="false">C6*D6</f>
        <v>26</v>
      </c>
    </row>
    <row r="7" customFormat="false" ht="15" hidden="false" customHeight="false" outlineLevel="0" collapsed="false">
      <c r="A7" s="8" t="s">
        <v>49</v>
      </c>
      <c r="B7" s="8" t="s">
        <v>41</v>
      </c>
      <c r="C7" s="9" t="n">
        <v>50</v>
      </c>
      <c r="D7" s="10" t="n">
        <v>0.6</v>
      </c>
      <c r="E7" s="16" t="s">
        <v>50</v>
      </c>
      <c r="F7" s="17" t="n">
        <f aca="false">C7*D7</f>
        <v>30</v>
      </c>
    </row>
    <row r="8" customFormat="false" ht="15" hidden="false" customHeight="false" outlineLevel="0" collapsed="false">
      <c r="A8" s="8" t="s">
        <v>51</v>
      </c>
      <c r="B8" s="8" t="s">
        <v>41</v>
      </c>
      <c r="C8" s="9" t="n">
        <v>45</v>
      </c>
      <c r="D8" s="10" t="n">
        <v>0.65</v>
      </c>
      <c r="E8" s="16" t="s">
        <v>52</v>
      </c>
      <c r="F8" s="17" t="n">
        <f aca="false">C8*D8</f>
        <v>29.25</v>
      </c>
    </row>
    <row r="9" customFormat="false" ht="15" hidden="false" customHeight="false" outlineLevel="0" collapsed="false">
      <c r="A9" s="8" t="s">
        <v>53</v>
      </c>
      <c r="B9" s="8" t="s">
        <v>41</v>
      </c>
      <c r="C9" s="9" t="n">
        <v>50</v>
      </c>
      <c r="D9" s="10" t="n">
        <v>0.55</v>
      </c>
      <c r="E9" s="16" t="s">
        <v>54</v>
      </c>
      <c r="F9" s="17" t="n">
        <f aca="false">C9*D9</f>
        <v>27.5</v>
      </c>
    </row>
    <row r="10" customFormat="false" ht="15" hidden="false" customHeight="false" outlineLevel="0" collapsed="false">
      <c r="A10" s="8" t="s">
        <v>55</v>
      </c>
      <c r="B10" s="8" t="s">
        <v>41</v>
      </c>
      <c r="C10" s="9" t="n">
        <v>100</v>
      </c>
      <c r="D10" s="10" t="n">
        <v>0.5</v>
      </c>
      <c r="E10" s="16" t="s">
        <v>56</v>
      </c>
      <c r="F10" s="17" t="n">
        <f aca="false">C10*D10</f>
        <v>50</v>
      </c>
    </row>
    <row r="11" customFormat="false" ht="15" hidden="false" customHeight="false" outlineLevel="0" collapsed="false">
      <c r="A11" s="8" t="s">
        <v>57</v>
      </c>
      <c r="B11" s="8" t="s">
        <v>41</v>
      </c>
      <c r="C11" s="9" t="n">
        <v>80</v>
      </c>
      <c r="D11" s="10" t="n">
        <v>0.5</v>
      </c>
      <c r="E11" s="16" t="s">
        <v>58</v>
      </c>
      <c r="F11" s="17" t="n">
        <f aca="false">C11*D11</f>
        <v>40</v>
      </c>
    </row>
    <row r="12" customFormat="false" ht="15" hidden="false" customHeight="false" outlineLevel="0" collapsed="false">
      <c r="A12" s="8" t="s">
        <v>59</v>
      </c>
      <c r="B12" s="8" t="s">
        <v>41</v>
      </c>
      <c r="C12" s="9" t="n">
        <v>120</v>
      </c>
      <c r="D12" s="10" t="n">
        <v>0.45</v>
      </c>
      <c r="E12" s="16" t="s">
        <v>60</v>
      </c>
      <c r="F12" s="17" t="n">
        <f aca="false">C12*D12</f>
        <v>54</v>
      </c>
    </row>
    <row r="13" customFormat="false" ht="15" hidden="false" customHeight="false" outlineLevel="0" collapsed="false">
      <c r="A13" s="8" t="s">
        <v>61</v>
      </c>
      <c r="B13" s="8" t="s">
        <v>41</v>
      </c>
      <c r="C13" s="9" t="n">
        <v>80</v>
      </c>
      <c r="D13" s="10" t="n">
        <v>0.5</v>
      </c>
      <c r="E13" s="16" t="s">
        <v>62</v>
      </c>
      <c r="F13" s="17" t="n">
        <f aca="false">C13*D13</f>
        <v>40</v>
      </c>
    </row>
    <row r="14" customFormat="false" ht="15" hidden="false" customHeight="false" outlineLevel="0" collapsed="false">
      <c r="A14" s="8" t="s">
        <v>63</v>
      </c>
      <c r="B14" s="8" t="s">
        <v>41</v>
      </c>
      <c r="C14" s="9" t="n">
        <v>60</v>
      </c>
      <c r="D14" s="10" t="n">
        <v>0.45</v>
      </c>
      <c r="E14" s="16" t="s">
        <v>64</v>
      </c>
      <c r="F14" s="17" t="n">
        <f aca="false">C14*D14</f>
        <v>27</v>
      </c>
    </row>
    <row r="15" customFormat="false" ht="15" hidden="false" customHeight="false" outlineLevel="0" collapsed="false">
      <c r="A15" s="8" t="s">
        <v>65</v>
      </c>
      <c r="B15" s="8" t="s">
        <v>41</v>
      </c>
      <c r="C15" s="9" t="n">
        <v>90</v>
      </c>
      <c r="D15" s="10" t="n">
        <v>0.45</v>
      </c>
      <c r="E15" s="16" t="s">
        <v>66</v>
      </c>
      <c r="F15" s="17" t="n">
        <f aca="false">C15*D15</f>
        <v>40.5</v>
      </c>
    </row>
    <row r="16" customFormat="false" ht="15" hidden="false" customHeight="false" outlineLevel="0" collapsed="false">
      <c r="A16" s="8" t="s">
        <v>67</v>
      </c>
      <c r="B16" s="8" t="s">
        <v>41</v>
      </c>
      <c r="C16" s="9" t="n">
        <v>80</v>
      </c>
      <c r="D16" s="10" t="n">
        <v>0.45</v>
      </c>
      <c r="E16" s="16" t="s">
        <v>68</v>
      </c>
      <c r="F16" s="17" t="n">
        <f aca="false">C16*D16</f>
        <v>36</v>
      </c>
    </row>
    <row r="17" customFormat="false" ht="15" hidden="false" customHeight="false" outlineLevel="0" collapsed="false">
      <c r="A17" s="8" t="s">
        <v>69</v>
      </c>
      <c r="B17" s="8" t="s">
        <v>41</v>
      </c>
      <c r="C17" s="9" t="n">
        <v>40</v>
      </c>
      <c r="D17" s="10" t="n">
        <v>0.45</v>
      </c>
      <c r="E17" s="16" t="s">
        <v>70</v>
      </c>
      <c r="F17" s="17" t="n">
        <f aca="false">C17*D17</f>
        <v>18</v>
      </c>
    </row>
    <row r="18" customFormat="false" ht="15" hidden="false" customHeight="false" outlineLevel="0" collapsed="false">
      <c r="A18" s="8" t="s">
        <v>71</v>
      </c>
      <c r="B18" s="8" t="s">
        <v>72</v>
      </c>
      <c r="C18" s="9" t="n">
        <v>100</v>
      </c>
      <c r="D18" s="10" t="n">
        <v>0.6</v>
      </c>
      <c r="E18" s="16" t="s">
        <v>73</v>
      </c>
      <c r="F18" s="17" t="n">
        <f aca="false">C18*D18</f>
        <v>60</v>
      </c>
    </row>
    <row r="19" customFormat="false" ht="15" hidden="false" customHeight="false" outlineLevel="0" collapsed="false">
      <c r="A19" s="8" t="s">
        <v>74</v>
      </c>
      <c r="B19" s="8" t="s">
        <v>72</v>
      </c>
      <c r="C19" s="9" t="n">
        <v>70</v>
      </c>
      <c r="D19" s="10" t="n">
        <v>0.6</v>
      </c>
      <c r="E19" s="16" t="s">
        <v>75</v>
      </c>
      <c r="F19" s="17" t="n">
        <f aca="false">C19*D19</f>
        <v>42</v>
      </c>
    </row>
    <row r="20" customFormat="false" ht="15" hidden="false" customHeight="false" outlineLevel="0" collapsed="false">
      <c r="A20" s="8" t="s">
        <v>76</v>
      </c>
      <c r="B20" s="8" t="s">
        <v>72</v>
      </c>
      <c r="C20" s="9" t="n">
        <v>60</v>
      </c>
      <c r="D20" s="10" t="n">
        <v>0.6</v>
      </c>
      <c r="E20" s="16" t="s">
        <v>77</v>
      </c>
      <c r="F20" s="17" t="n">
        <f aca="false">C20*D20</f>
        <v>36</v>
      </c>
    </row>
    <row r="21" customFormat="false" ht="15" hidden="false" customHeight="false" outlineLevel="0" collapsed="false">
      <c r="A21" s="8" t="s">
        <v>78</v>
      </c>
      <c r="B21" s="8" t="s">
        <v>72</v>
      </c>
      <c r="C21" s="9" t="n">
        <v>50</v>
      </c>
      <c r="D21" s="10" t="n">
        <v>0.65</v>
      </c>
      <c r="E21" s="16" t="s">
        <v>79</v>
      </c>
      <c r="F21" s="17" t="n">
        <f aca="false">C21*D21</f>
        <v>32.5</v>
      </c>
    </row>
    <row r="22" customFormat="false" ht="15" hidden="false" customHeight="false" outlineLevel="0" collapsed="false">
      <c r="A22" s="8" t="s">
        <v>80</v>
      </c>
      <c r="B22" s="8" t="s">
        <v>81</v>
      </c>
      <c r="C22" s="9" t="n">
        <v>80</v>
      </c>
      <c r="D22" s="10" t="n">
        <v>0.55</v>
      </c>
      <c r="E22" s="16" t="s">
        <v>82</v>
      </c>
      <c r="F22" s="17" t="n">
        <f aca="false">C22*D22</f>
        <v>44</v>
      </c>
    </row>
    <row r="23" customFormat="false" ht="15" hidden="false" customHeight="false" outlineLevel="0" collapsed="false">
      <c r="A23" s="8" t="s">
        <v>83</v>
      </c>
      <c r="B23" s="8" t="s">
        <v>81</v>
      </c>
      <c r="C23" s="9" t="n">
        <v>50</v>
      </c>
      <c r="D23" s="10" t="n">
        <v>0.5</v>
      </c>
      <c r="E23" s="16" t="s">
        <v>84</v>
      </c>
      <c r="F23" s="17" t="n">
        <f aca="false">C23*D23</f>
        <v>25</v>
      </c>
    </row>
    <row r="24" customFormat="false" ht="15" hidden="false" customHeight="false" outlineLevel="0" collapsed="false">
      <c r="A24" s="8" t="s">
        <v>85</v>
      </c>
      <c r="B24" s="8" t="s">
        <v>81</v>
      </c>
      <c r="C24" s="9" t="n">
        <v>40</v>
      </c>
      <c r="D24" s="10" t="n">
        <v>0.55</v>
      </c>
      <c r="E24" s="16" t="s">
        <v>86</v>
      </c>
      <c r="F24" s="17" t="n">
        <f aca="false">C24*D24</f>
        <v>22</v>
      </c>
    </row>
    <row r="25" customFormat="false" ht="15" hidden="false" customHeight="false" outlineLevel="0" collapsed="false">
      <c r="A25" s="8" t="s">
        <v>87</v>
      </c>
      <c r="B25" s="8" t="s">
        <v>88</v>
      </c>
      <c r="C25" s="9" t="n">
        <v>60</v>
      </c>
      <c r="D25" s="10" t="n">
        <v>0.4</v>
      </c>
      <c r="E25" s="16" t="s">
        <v>89</v>
      </c>
      <c r="F25" s="17" t="n">
        <f aca="false">C25*D25</f>
        <v>24</v>
      </c>
    </row>
    <row r="26" customFormat="false" ht="15" hidden="false" customHeight="false" outlineLevel="0" collapsed="false">
      <c r="A26" s="8" t="s">
        <v>90</v>
      </c>
      <c r="B26" s="8" t="s">
        <v>91</v>
      </c>
      <c r="C26" s="9" t="n">
        <v>30</v>
      </c>
      <c r="D26" s="10" t="n">
        <v>0.5</v>
      </c>
      <c r="E26" s="16" t="s">
        <v>92</v>
      </c>
      <c r="F26" s="17" t="n">
        <f aca="false">C26*D26</f>
        <v>15</v>
      </c>
    </row>
    <row r="27" customFormat="false" ht="15" hidden="false" customHeight="false" outlineLevel="0" collapsed="false">
      <c r="A27" s="8" t="s">
        <v>93</v>
      </c>
      <c r="B27" s="8" t="s">
        <v>94</v>
      </c>
      <c r="C27" s="9" t="n">
        <v>50</v>
      </c>
      <c r="D27" s="10" t="n">
        <v>0.6</v>
      </c>
      <c r="E27" s="16" t="s">
        <v>95</v>
      </c>
      <c r="F27" s="17" t="n">
        <f aca="false">C27*D27</f>
        <v>30</v>
      </c>
    </row>
    <row r="28" customFormat="false" ht="15" hidden="false" customHeight="false" outlineLevel="0" collapsed="false">
      <c r="A28" s="8" t="s">
        <v>96</v>
      </c>
      <c r="B28" s="8" t="s">
        <v>94</v>
      </c>
      <c r="C28" s="9" t="n">
        <v>60</v>
      </c>
      <c r="D28" s="10" t="n">
        <v>0.5</v>
      </c>
      <c r="E28" s="16" t="s">
        <v>97</v>
      </c>
      <c r="F28" s="17" t="n">
        <f aca="false">C28*D28</f>
        <v>30</v>
      </c>
    </row>
    <row r="29" customFormat="false" ht="15" hidden="false" customHeight="false" outlineLevel="0" collapsed="false">
      <c r="A29" s="8" t="s">
        <v>98</v>
      </c>
      <c r="B29" s="8" t="s">
        <v>94</v>
      </c>
      <c r="C29" s="9" t="n">
        <v>40</v>
      </c>
      <c r="D29" s="10" t="n">
        <v>0.55</v>
      </c>
      <c r="E29" s="16" t="s">
        <v>99</v>
      </c>
      <c r="F29" s="17" t="n">
        <f aca="false">C29*D29</f>
        <v>22</v>
      </c>
    </row>
    <row r="30" customFormat="false" ht="15" hidden="false" customHeight="false" outlineLevel="0" collapsed="false">
      <c r="A30" s="8" t="s">
        <v>100</v>
      </c>
      <c r="B30" s="8" t="s">
        <v>101</v>
      </c>
      <c r="C30" s="9" t="n">
        <v>100</v>
      </c>
      <c r="D30" s="10" t="n">
        <v>0.45</v>
      </c>
      <c r="E30" s="16" t="s">
        <v>102</v>
      </c>
      <c r="F30" s="17" t="n">
        <f aca="false">C30*D30</f>
        <v>45</v>
      </c>
    </row>
    <row r="31" customFormat="false" ht="15" hidden="false" customHeight="false" outlineLevel="0" collapsed="false">
      <c r="A31" s="8" t="s">
        <v>103</v>
      </c>
      <c r="B31" s="8" t="s">
        <v>104</v>
      </c>
      <c r="C31" s="9" t="n">
        <v>60</v>
      </c>
      <c r="D31" s="10" t="n">
        <v>0.5</v>
      </c>
      <c r="E31" s="16" t="s">
        <v>105</v>
      </c>
      <c r="F31" s="17" t="n">
        <f aca="false">C31*D31</f>
        <v>30</v>
      </c>
    </row>
    <row r="32" customFormat="false" ht="15" hidden="false" customHeight="false" outlineLevel="0" collapsed="false">
      <c r="A32" s="8" t="s">
        <v>106</v>
      </c>
      <c r="B32" s="8" t="s">
        <v>104</v>
      </c>
      <c r="C32" s="9" t="n">
        <v>40</v>
      </c>
      <c r="D32" s="10" t="n">
        <v>0.55</v>
      </c>
      <c r="E32" s="16" t="s">
        <v>107</v>
      </c>
      <c r="F32" s="17" t="n">
        <f aca="false">C32*D32</f>
        <v>22</v>
      </c>
    </row>
    <row r="33" customFormat="false" ht="15" hidden="false" customHeight="false" outlineLevel="0" collapsed="false">
      <c r="A33" s="8" t="s">
        <v>108</v>
      </c>
      <c r="B33" s="8" t="s">
        <v>109</v>
      </c>
      <c r="C33" s="9" t="n">
        <v>50</v>
      </c>
      <c r="D33" s="10" t="n">
        <v>0.5</v>
      </c>
      <c r="E33" s="16" t="s">
        <v>110</v>
      </c>
      <c r="F33" s="17" t="n">
        <f aca="false">C33*D33</f>
        <v>25</v>
      </c>
    </row>
    <row r="34" customFormat="false" ht="15" hidden="false" customHeight="false" outlineLevel="0" collapsed="false">
      <c r="A34" s="8" t="s">
        <v>111</v>
      </c>
      <c r="B34" s="8" t="s">
        <v>112</v>
      </c>
      <c r="C34" s="9" t="n">
        <v>70</v>
      </c>
      <c r="D34" s="10" t="n">
        <v>0.55</v>
      </c>
      <c r="E34" s="16" t="s">
        <v>113</v>
      </c>
      <c r="F34" s="17" t="n">
        <f aca="false">C34*D34</f>
        <v>38.5</v>
      </c>
    </row>
    <row r="35" customFormat="false" ht="15" hidden="false" customHeight="false" outlineLevel="0" collapsed="false">
      <c r="A35" s="8" t="s">
        <v>114</v>
      </c>
      <c r="B35" s="8" t="s">
        <v>112</v>
      </c>
      <c r="C35" s="9" t="n">
        <v>80</v>
      </c>
      <c r="D35" s="10" t="n">
        <v>0.5</v>
      </c>
      <c r="E35" s="16" t="s">
        <v>115</v>
      </c>
      <c r="F35" s="17" t="n">
        <f aca="false">C35*D35</f>
        <v>40</v>
      </c>
    </row>
    <row r="36" customFormat="false" ht="15" hidden="false" customHeight="false" outlineLevel="0" collapsed="false">
      <c r="A36" s="8" t="s">
        <v>116</v>
      </c>
      <c r="B36" s="8" t="s">
        <v>112</v>
      </c>
      <c r="C36" s="9" t="n">
        <v>60</v>
      </c>
      <c r="D36" s="10" t="n">
        <v>0.5</v>
      </c>
      <c r="E36" s="16" t="s">
        <v>117</v>
      </c>
      <c r="F36" s="17" t="n">
        <f aca="false">C36*D36</f>
        <v>30</v>
      </c>
    </row>
    <row r="37" customFormat="false" ht="15" hidden="false" customHeight="false" outlineLevel="0" collapsed="false">
      <c r="A37" s="8" t="s">
        <v>118</v>
      </c>
      <c r="B37" s="8" t="s">
        <v>112</v>
      </c>
      <c r="C37" s="9" t="n">
        <v>40</v>
      </c>
      <c r="D37" s="10" t="n">
        <v>0.55</v>
      </c>
      <c r="E37" s="16" t="s">
        <v>119</v>
      </c>
      <c r="F37" s="17" t="n">
        <f aca="false">C37*D37</f>
        <v>22</v>
      </c>
    </row>
    <row r="38" customFormat="false" ht="15" hidden="false" customHeight="false" outlineLevel="0" collapsed="false">
      <c r="A38" s="8" t="s">
        <v>120</v>
      </c>
      <c r="B38" s="8" t="s">
        <v>121</v>
      </c>
      <c r="C38" s="9" t="n">
        <v>40</v>
      </c>
      <c r="D38" s="10" t="n">
        <v>0.55</v>
      </c>
      <c r="E38" s="16" t="s">
        <v>122</v>
      </c>
      <c r="F38" s="17" t="n">
        <f aca="false">C38*D38</f>
        <v>22</v>
      </c>
    </row>
    <row r="39" customFormat="false" ht="15" hidden="false" customHeight="false" outlineLevel="0" collapsed="false">
      <c r="A39" s="8" t="s">
        <v>123</v>
      </c>
      <c r="B39" s="8" t="s">
        <v>121</v>
      </c>
      <c r="C39" s="9" t="n">
        <v>30</v>
      </c>
      <c r="D39" s="10" t="n">
        <v>0.5</v>
      </c>
      <c r="E39" s="16" t="s">
        <v>124</v>
      </c>
      <c r="F39" s="17" t="n">
        <f aca="false">C39*D39</f>
        <v>15</v>
      </c>
    </row>
    <row r="40" customFormat="false" ht="15" hidden="false" customHeight="false" outlineLevel="0" collapsed="false">
      <c r="A40" s="8" t="s">
        <v>125</v>
      </c>
      <c r="B40" s="8" t="s">
        <v>121</v>
      </c>
      <c r="C40" s="9" t="n">
        <v>35</v>
      </c>
      <c r="D40" s="10" t="n">
        <v>0.6</v>
      </c>
      <c r="E40" s="16" t="s">
        <v>126</v>
      </c>
      <c r="F40" s="17" t="n">
        <f aca="false">C40*D40</f>
        <v>21</v>
      </c>
    </row>
    <row r="41" customFormat="false" ht="15" hidden="false" customHeight="false" outlineLevel="0" collapsed="false">
      <c r="A41" s="8" t="s">
        <v>127</v>
      </c>
      <c r="B41" s="8" t="s">
        <v>128</v>
      </c>
      <c r="C41" s="9" t="n">
        <v>50</v>
      </c>
      <c r="D41" s="10" t="n">
        <v>0.55</v>
      </c>
      <c r="E41" s="16" t="s">
        <v>129</v>
      </c>
      <c r="F41" s="17" t="n">
        <f aca="false">C41*D41</f>
        <v>27.5</v>
      </c>
    </row>
    <row r="42" customFormat="false" ht="15" hidden="false" customHeight="false" outlineLevel="0" collapsed="false">
      <c r="A42" s="8" t="s">
        <v>130</v>
      </c>
      <c r="B42" s="8" t="s">
        <v>128</v>
      </c>
      <c r="C42" s="9" t="n">
        <v>40</v>
      </c>
      <c r="D42" s="10" t="n">
        <v>0.55</v>
      </c>
      <c r="E42" s="16" t="s">
        <v>131</v>
      </c>
      <c r="F42" s="17" t="n">
        <f aca="false">C42*D42</f>
        <v>22</v>
      </c>
    </row>
    <row r="43" customFormat="false" ht="15" hidden="false" customHeight="false" outlineLevel="0" collapsed="false">
      <c r="A43" s="8" t="s">
        <v>132</v>
      </c>
      <c r="B43" s="8" t="s">
        <v>128</v>
      </c>
      <c r="C43" s="9" t="n">
        <v>60</v>
      </c>
      <c r="D43" s="10" t="n">
        <v>0.5</v>
      </c>
      <c r="E43" s="16" t="s">
        <v>133</v>
      </c>
      <c r="F43" s="17" t="n">
        <f aca="false">C43*D43</f>
        <v>30</v>
      </c>
    </row>
    <row r="44" customFormat="false" ht="15" hidden="false" customHeight="false" outlineLevel="0" collapsed="false">
      <c r="A44" s="8" t="s">
        <v>134</v>
      </c>
      <c r="B44" s="8" t="s">
        <v>135</v>
      </c>
      <c r="C44" s="9" t="n">
        <v>50</v>
      </c>
      <c r="D44" s="10" t="n">
        <v>0.4</v>
      </c>
      <c r="E44" s="16" t="s">
        <v>136</v>
      </c>
      <c r="F44" s="17" t="n">
        <f aca="false">C44*D44</f>
        <v>20</v>
      </c>
    </row>
    <row r="45" customFormat="false" ht="15" hidden="false" customHeight="false" outlineLevel="0" collapsed="false">
      <c r="A45" s="8" t="s">
        <v>137</v>
      </c>
      <c r="B45" s="8" t="s">
        <v>135</v>
      </c>
      <c r="C45" s="9" t="n">
        <v>40</v>
      </c>
      <c r="D45" s="10" t="n">
        <v>0.4</v>
      </c>
      <c r="E45" s="16" t="s">
        <v>138</v>
      </c>
      <c r="F45" s="17" t="n">
        <f aca="false">C45*D45</f>
        <v>16</v>
      </c>
    </row>
    <row r="46" customFormat="false" ht="15" hidden="false" customHeight="false" outlineLevel="0" collapsed="false">
      <c r="A46" s="8" t="s">
        <v>139</v>
      </c>
      <c r="B46" s="8" t="s">
        <v>140</v>
      </c>
      <c r="C46" s="9" t="n">
        <v>40</v>
      </c>
      <c r="D46" s="10" t="n">
        <v>0.4</v>
      </c>
      <c r="E46" s="16" t="s">
        <v>141</v>
      </c>
      <c r="F46" s="17" t="n">
        <f aca="false">C46*D46</f>
        <v>16</v>
      </c>
    </row>
    <row r="47" customFormat="false" ht="15" hidden="false" customHeight="false" outlineLevel="0" collapsed="false">
      <c r="A47" s="8" t="s">
        <v>142</v>
      </c>
      <c r="B47" s="8" t="s">
        <v>143</v>
      </c>
      <c r="C47" s="9" t="n">
        <v>50</v>
      </c>
      <c r="D47" s="10" t="n">
        <v>0.5</v>
      </c>
      <c r="E47" s="16" t="s">
        <v>144</v>
      </c>
      <c r="F47" s="17" t="n">
        <f aca="false">C47*D47</f>
        <v>25</v>
      </c>
    </row>
    <row r="48" customFormat="false" ht="15" hidden="false" customHeight="false" outlineLevel="0" collapsed="false">
      <c r="A48" s="8" t="s">
        <v>145</v>
      </c>
      <c r="B48" s="8" t="s">
        <v>146</v>
      </c>
      <c r="C48" s="9" t="n">
        <v>30</v>
      </c>
      <c r="D48" s="10" t="n">
        <v>0.5</v>
      </c>
      <c r="E48" s="16" t="s">
        <v>147</v>
      </c>
      <c r="F48" s="17" t="n">
        <f aca="false">C48*D48</f>
        <v>15</v>
      </c>
    </row>
    <row r="49" customFormat="false" ht="15" hidden="false" customHeight="false" outlineLevel="0" collapsed="false">
      <c r="A49" s="8" t="s">
        <v>148</v>
      </c>
      <c r="B49" s="8" t="s">
        <v>149</v>
      </c>
      <c r="C49" s="9" t="n">
        <v>30</v>
      </c>
      <c r="D49" s="10" t="n">
        <v>0.45</v>
      </c>
      <c r="E49" s="16" t="s">
        <v>150</v>
      </c>
      <c r="F49" s="17" t="n">
        <f aca="false">C49*D49</f>
        <v>13.5</v>
      </c>
    </row>
    <row r="50" customFormat="false" ht="15" hidden="false" customHeight="false" outlineLevel="0" collapsed="false">
      <c r="A50" s="8" t="s">
        <v>151</v>
      </c>
      <c r="B50" s="8" t="s">
        <v>149</v>
      </c>
      <c r="C50" s="9" t="n">
        <v>40</v>
      </c>
      <c r="D50" s="10" t="n">
        <v>0.4</v>
      </c>
      <c r="E50" s="16" t="s">
        <v>152</v>
      </c>
      <c r="F50" s="17" t="n">
        <f aca="false">C50*D50</f>
        <v>16</v>
      </c>
    </row>
    <row r="51" customFormat="false" ht="15" hidden="false" customHeight="false" outlineLevel="0" collapsed="false">
      <c r="A51" s="8" t="s">
        <v>153</v>
      </c>
      <c r="B51" s="8" t="s">
        <v>154</v>
      </c>
      <c r="C51" s="9" t="n">
        <v>60</v>
      </c>
      <c r="D51" s="10" t="n">
        <v>0.5</v>
      </c>
      <c r="E51" s="16" t="s">
        <v>155</v>
      </c>
      <c r="F51" s="17" t="n">
        <f aca="false">C51*D51</f>
        <v>30</v>
      </c>
    </row>
    <row r="52" customFormat="false" ht="15" hidden="false" customHeight="false" outlineLevel="0" collapsed="false">
      <c r="A52" s="8" t="s">
        <v>156</v>
      </c>
      <c r="B52" s="8" t="s">
        <v>154</v>
      </c>
      <c r="C52" s="9" t="n">
        <v>40</v>
      </c>
      <c r="D52" s="10" t="n">
        <v>0.4</v>
      </c>
      <c r="E52" s="16" t="s">
        <v>157</v>
      </c>
      <c r="F52" s="17" t="n">
        <f aca="false">C52*D52</f>
        <v>16</v>
      </c>
    </row>
    <row r="53" customFormat="false" ht="15" hidden="false" customHeight="false" outlineLevel="0" collapsed="false">
      <c r="A53" s="8" t="s">
        <v>158</v>
      </c>
      <c r="B53" s="8" t="s">
        <v>159</v>
      </c>
      <c r="C53" s="9" t="n">
        <v>50</v>
      </c>
      <c r="D53" s="10" t="n">
        <v>0.45</v>
      </c>
      <c r="E53" s="16" t="s">
        <v>160</v>
      </c>
      <c r="F53" s="17" t="n">
        <f aca="false">C53*D53</f>
        <v>22.5</v>
      </c>
    </row>
    <row r="54" customFormat="false" ht="15" hidden="false" customHeight="false" outlineLevel="0" collapsed="false">
      <c r="A54" s="8" t="s">
        <v>161</v>
      </c>
      <c r="B54" s="8" t="s">
        <v>159</v>
      </c>
      <c r="C54" s="9" t="n">
        <v>40</v>
      </c>
      <c r="D54" s="10" t="n">
        <v>0.35</v>
      </c>
      <c r="E54" s="16" t="s">
        <v>162</v>
      </c>
      <c r="F54" s="17" t="n">
        <f aca="false">C54*D54</f>
        <v>14</v>
      </c>
    </row>
    <row r="55" customFormat="false" ht="15" hidden="false" customHeight="false" outlineLevel="0" collapsed="false">
      <c r="A55" s="8" t="s">
        <v>163</v>
      </c>
      <c r="B55" s="8" t="s">
        <v>164</v>
      </c>
      <c r="C55" s="9" t="n">
        <v>50</v>
      </c>
      <c r="D55" s="10" t="n">
        <v>0.45</v>
      </c>
      <c r="E55" s="16" t="s">
        <v>165</v>
      </c>
      <c r="F55" s="17" t="n">
        <f aca="false">C55*D55</f>
        <v>22.5</v>
      </c>
    </row>
    <row r="56" customFormat="false" ht="15" hidden="false" customHeight="false" outlineLevel="0" collapsed="false">
      <c r="A56" s="8" t="s">
        <v>166</v>
      </c>
      <c r="B56" s="8" t="s">
        <v>164</v>
      </c>
      <c r="C56" s="9" t="n">
        <v>30</v>
      </c>
      <c r="D56" s="10" t="n">
        <v>0.5</v>
      </c>
      <c r="E56" s="16" t="s">
        <v>167</v>
      </c>
      <c r="F56" s="17" t="n">
        <f aca="false">C56*D56</f>
        <v>15</v>
      </c>
    </row>
    <row r="57" customFormat="false" ht="15" hidden="false" customHeight="false" outlineLevel="0" collapsed="false">
      <c r="A57" s="8" t="s">
        <v>168</v>
      </c>
      <c r="B57" s="8" t="s">
        <v>169</v>
      </c>
      <c r="C57" s="9" t="n">
        <v>40</v>
      </c>
      <c r="D57" s="10" t="n">
        <v>0.55</v>
      </c>
      <c r="E57" s="16" t="s">
        <v>170</v>
      </c>
      <c r="F57" s="17" t="n">
        <f aca="false">C57*D57</f>
        <v>22</v>
      </c>
    </row>
    <row r="58" customFormat="false" ht="15" hidden="false" customHeight="false" outlineLevel="0" collapsed="false">
      <c r="A58" s="8" t="s">
        <v>171</v>
      </c>
      <c r="B58" s="8" t="s">
        <v>169</v>
      </c>
      <c r="C58" s="9" t="n">
        <v>30</v>
      </c>
      <c r="D58" s="10" t="n">
        <v>0.5</v>
      </c>
      <c r="E58" s="16" t="s">
        <v>172</v>
      </c>
      <c r="F58" s="17" t="n">
        <f aca="false">C58*D58</f>
        <v>15</v>
      </c>
    </row>
    <row r="59" customFormat="false" ht="15" hidden="false" customHeight="false" outlineLevel="0" collapsed="false">
      <c r="A59" s="8" t="s">
        <v>173</v>
      </c>
      <c r="B59" s="8" t="s">
        <v>174</v>
      </c>
      <c r="C59" s="9" t="n">
        <v>50</v>
      </c>
      <c r="D59" s="10" t="n">
        <v>0.5</v>
      </c>
      <c r="E59" s="16" t="s">
        <v>175</v>
      </c>
      <c r="F59" s="17" t="n">
        <f aca="false">C59*D59</f>
        <v>25</v>
      </c>
    </row>
    <row r="60" customFormat="false" ht="15" hidden="false" customHeight="false" outlineLevel="0" collapsed="false">
      <c r="A60" s="8" t="s">
        <v>176</v>
      </c>
      <c r="B60" s="8" t="s">
        <v>174</v>
      </c>
      <c r="C60" s="9" t="n">
        <v>40</v>
      </c>
      <c r="D60" s="10" t="n">
        <v>0.55</v>
      </c>
      <c r="E60" s="16" t="s">
        <v>177</v>
      </c>
      <c r="F60" s="17" t="n">
        <f aca="false">C60*D60</f>
        <v>22</v>
      </c>
    </row>
    <row r="61" customFormat="false" ht="15" hidden="false" customHeight="false" outlineLevel="0" collapsed="false">
      <c r="A61" s="8" t="s">
        <v>178</v>
      </c>
      <c r="B61" s="8" t="s">
        <v>174</v>
      </c>
      <c r="C61" s="9" t="n">
        <v>50</v>
      </c>
      <c r="D61" s="10" t="n">
        <v>0.45</v>
      </c>
      <c r="E61" s="16" t="s">
        <v>179</v>
      </c>
      <c r="F61" s="17" t="n">
        <f aca="false">C61*D61</f>
        <v>22.5</v>
      </c>
    </row>
    <row r="62" customFormat="false" ht="15" hidden="false" customHeight="false" outlineLevel="0" collapsed="false">
      <c r="A62" s="8" t="s">
        <v>180</v>
      </c>
      <c r="B62" s="8" t="s">
        <v>181</v>
      </c>
      <c r="C62" s="9" t="n">
        <v>40</v>
      </c>
      <c r="D62" s="10" t="n">
        <v>0.55</v>
      </c>
      <c r="E62" s="16" t="s">
        <v>182</v>
      </c>
      <c r="F62" s="17" t="n">
        <f aca="false">C62*D62</f>
        <v>22</v>
      </c>
    </row>
    <row r="63" customFormat="false" ht="15" hidden="false" customHeight="false" outlineLevel="0" collapsed="false">
      <c r="A63" s="8" t="s">
        <v>183</v>
      </c>
      <c r="B63" s="8" t="s">
        <v>184</v>
      </c>
      <c r="C63" s="9" t="n">
        <v>30</v>
      </c>
      <c r="D63" s="10" t="n">
        <v>0.45</v>
      </c>
      <c r="E63" s="16" t="s">
        <v>185</v>
      </c>
      <c r="F63" s="17" t="n">
        <f aca="false">C63*D63</f>
        <v>13.5</v>
      </c>
    </row>
    <row r="64" customFormat="false" ht="15" hidden="false" customHeight="false" outlineLevel="0" collapsed="false">
      <c r="A64" s="8" t="s">
        <v>186</v>
      </c>
      <c r="B64" s="8" t="s">
        <v>187</v>
      </c>
      <c r="C64" s="9" t="n">
        <v>50</v>
      </c>
      <c r="D64" s="10" t="n">
        <v>0.4</v>
      </c>
      <c r="E64" s="16" t="s">
        <v>188</v>
      </c>
      <c r="F64" s="17" t="n">
        <f aca="false">C64*D64</f>
        <v>20</v>
      </c>
    </row>
    <row r="65" customFormat="false" ht="15" hidden="false" customHeight="false" outlineLevel="0" collapsed="false">
      <c r="A65" s="8" t="s">
        <v>189</v>
      </c>
      <c r="B65" s="8" t="s">
        <v>187</v>
      </c>
      <c r="C65" s="9" t="n">
        <v>40</v>
      </c>
      <c r="D65" s="10" t="n">
        <v>0.45</v>
      </c>
      <c r="E65" s="16" t="s">
        <v>190</v>
      </c>
      <c r="F65" s="17" t="n">
        <f aca="false">C65*D65</f>
        <v>18</v>
      </c>
    </row>
    <row r="66" customFormat="false" ht="15" hidden="false" customHeight="false" outlineLevel="0" collapsed="false">
      <c r="A66" s="8" t="s">
        <v>191</v>
      </c>
      <c r="B66" s="8" t="s">
        <v>192</v>
      </c>
      <c r="C66" s="9" t="n">
        <v>30</v>
      </c>
      <c r="D66" s="10" t="n">
        <v>0.4</v>
      </c>
      <c r="E66" s="16" t="s">
        <v>193</v>
      </c>
      <c r="F66" s="17" t="n">
        <f aca="false">C66*D66</f>
        <v>12</v>
      </c>
    </row>
    <row r="67" customFormat="false" ht="15" hidden="false" customHeight="false" outlineLevel="0" collapsed="false">
      <c r="A67" s="8" t="s">
        <v>194</v>
      </c>
      <c r="B67" s="8" t="s">
        <v>195</v>
      </c>
      <c r="C67" s="9" t="n">
        <v>40</v>
      </c>
      <c r="D67" s="10" t="n">
        <v>0.6</v>
      </c>
      <c r="E67" s="16" t="s">
        <v>196</v>
      </c>
      <c r="F67" s="17" t="n">
        <f aca="false">C67*D67</f>
        <v>24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4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5" t="s">
        <v>197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7" t="s">
        <v>35</v>
      </c>
      <c r="B2" s="7" t="s">
        <v>36</v>
      </c>
      <c r="C2" s="7" t="s">
        <v>13</v>
      </c>
      <c r="D2" s="7" t="s">
        <v>37</v>
      </c>
      <c r="E2" s="7" t="s">
        <v>38</v>
      </c>
      <c r="F2" s="7" t="s">
        <v>39</v>
      </c>
    </row>
    <row r="3" customFormat="false" ht="15" hidden="false" customHeight="false" outlineLevel="0" collapsed="false">
      <c r="A3" s="8" t="s">
        <v>198</v>
      </c>
      <c r="B3" s="8" t="s">
        <v>199</v>
      </c>
      <c r="C3" s="9" t="n">
        <v>200</v>
      </c>
      <c r="D3" s="10" t="n">
        <v>0.45</v>
      </c>
      <c r="E3" s="16" t="s">
        <v>200</v>
      </c>
      <c r="F3" s="17" t="n">
        <f aca="false">C3*D3</f>
        <v>90</v>
      </c>
    </row>
    <row r="4" customFormat="false" ht="15" hidden="false" customHeight="false" outlineLevel="0" collapsed="false">
      <c r="A4" s="8" t="s">
        <v>201</v>
      </c>
      <c r="B4" s="8" t="s">
        <v>199</v>
      </c>
      <c r="C4" s="9" t="n">
        <v>80</v>
      </c>
      <c r="D4" s="10" t="n">
        <v>0.5</v>
      </c>
      <c r="E4" s="16" t="s">
        <v>202</v>
      </c>
      <c r="F4" s="17" t="n">
        <f aca="false">C4*D4</f>
        <v>40</v>
      </c>
    </row>
    <row r="5" customFormat="false" ht="15" hidden="false" customHeight="false" outlineLevel="0" collapsed="false">
      <c r="A5" s="8" t="s">
        <v>203</v>
      </c>
      <c r="B5" s="8" t="s">
        <v>199</v>
      </c>
      <c r="C5" s="9" t="n">
        <v>150</v>
      </c>
      <c r="D5" s="10" t="n">
        <v>0.4</v>
      </c>
      <c r="E5" s="16" t="s">
        <v>204</v>
      </c>
      <c r="F5" s="17" t="n">
        <f aca="false">C5*D5</f>
        <v>60</v>
      </c>
    </row>
    <row r="6" customFormat="false" ht="15" hidden="false" customHeight="false" outlineLevel="0" collapsed="false">
      <c r="A6" s="8" t="s">
        <v>205</v>
      </c>
      <c r="B6" s="8" t="s">
        <v>199</v>
      </c>
      <c r="C6" s="9" t="n">
        <v>80</v>
      </c>
      <c r="D6" s="10" t="n">
        <v>0.4</v>
      </c>
      <c r="E6" s="16" t="s">
        <v>206</v>
      </c>
      <c r="F6" s="17" t="n">
        <f aca="false">C6*D6</f>
        <v>32</v>
      </c>
    </row>
    <row r="7" customFormat="false" ht="15" hidden="false" customHeight="false" outlineLevel="0" collapsed="false">
      <c r="A7" s="8" t="s">
        <v>207</v>
      </c>
      <c r="B7" s="8" t="s">
        <v>199</v>
      </c>
      <c r="C7" s="9" t="n">
        <v>60</v>
      </c>
      <c r="D7" s="10" t="n">
        <v>0.45</v>
      </c>
      <c r="E7" s="16" t="s">
        <v>208</v>
      </c>
      <c r="F7" s="17" t="n">
        <f aca="false">C7*D7</f>
        <v>27</v>
      </c>
    </row>
    <row r="8" customFormat="false" ht="15" hidden="false" customHeight="false" outlineLevel="0" collapsed="false">
      <c r="A8" s="8" t="s">
        <v>209</v>
      </c>
      <c r="B8" s="8" t="s">
        <v>199</v>
      </c>
      <c r="C8" s="9" t="n">
        <v>50</v>
      </c>
      <c r="D8" s="10" t="n">
        <v>0.35</v>
      </c>
      <c r="E8" s="16" t="s">
        <v>210</v>
      </c>
      <c r="F8" s="17" t="n">
        <f aca="false">C8*D8</f>
        <v>17.5</v>
      </c>
    </row>
    <row r="9" customFormat="false" ht="15" hidden="false" customHeight="false" outlineLevel="0" collapsed="false">
      <c r="A9" s="8" t="s">
        <v>211</v>
      </c>
      <c r="B9" s="8" t="s">
        <v>212</v>
      </c>
      <c r="C9" s="9" t="n">
        <v>150</v>
      </c>
      <c r="D9" s="10" t="n">
        <v>0.5</v>
      </c>
      <c r="E9" s="16" t="s">
        <v>213</v>
      </c>
      <c r="F9" s="17" t="n">
        <f aca="false">C9*D9</f>
        <v>75</v>
      </c>
    </row>
    <row r="10" customFormat="false" ht="15" hidden="false" customHeight="false" outlineLevel="0" collapsed="false">
      <c r="A10" s="8" t="s">
        <v>214</v>
      </c>
      <c r="B10" s="8" t="s">
        <v>212</v>
      </c>
      <c r="C10" s="9" t="n">
        <v>80</v>
      </c>
      <c r="D10" s="10" t="n">
        <v>0.55</v>
      </c>
      <c r="E10" s="16" t="s">
        <v>215</v>
      </c>
      <c r="F10" s="17" t="n">
        <f aca="false">C10*D10</f>
        <v>44</v>
      </c>
    </row>
    <row r="11" customFormat="false" ht="15" hidden="false" customHeight="false" outlineLevel="0" collapsed="false">
      <c r="A11" s="8" t="s">
        <v>216</v>
      </c>
      <c r="B11" s="8" t="s">
        <v>212</v>
      </c>
      <c r="C11" s="9" t="n">
        <v>60</v>
      </c>
      <c r="D11" s="10" t="n">
        <v>0.4</v>
      </c>
      <c r="E11" s="16" t="s">
        <v>217</v>
      </c>
      <c r="F11" s="17" t="n">
        <f aca="false">C11*D11</f>
        <v>24</v>
      </c>
    </row>
    <row r="12" customFormat="false" ht="15" hidden="false" customHeight="false" outlineLevel="0" collapsed="false">
      <c r="A12" s="8" t="s">
        <v>218</v>
      </c>
      <c r="B12" s="8" t="s">
        <v>219</v>
      </c>
      <c r="C12" s="9" t="n">
        <v>100</v>
      </c>
      <c r="D12" s="10" t="n">
        <v>0.45</v>
      </c>
      <c r="E12" s="16" t="s">
        <v>220</v>
      </c>
      <c r="F12" s="17" t="n">
        <f aca="false">C12*D12</f>
        <v>45</v>
      </c>
    </row>
    <row r="13" customFormat="false" ht="15" hidden="false" customHeight="false" outlineLevel="0" collapsed="false">
      <c r="A13" s="8" t="s">
        <v>221</v>
      </c>
      <c r="B13" s="8" t="s">
        <v>219</v>
      </c>
      <c r="C13" s="9" t="n">
        <v>80</v>
      </c>
      <c r="D13" s="10" t="n">
        <v>0.3</v>
      </c>
      <c r="E13" s="16" t="s">
        <v>222</v>
      </c>
      <c r="F13" s="17" t="n">
        <f aca="false">C13*D13</f>
        <v>24</v>
      </c>
    </row>
    <row r="14" customFormat="false" ht="15" hidden="false" customHeight="false" outlineLevel="0" collapsed="false">
      <c r="A14" s="8" t="s">
        <v>223</v>
      </c>
      <c r="B14" s="8" t="s">
        <v>219</v>
      </c>
      <c r="C14" s="9" t="n">
        <v>50</v>
      </c>
      <c r="D14" s="10" t="n">
        <v>0.5</v>
      </c>
      <c r="E14" s="16" t="s">
        <v>224</v>
      </c>
      <c r="F14" s="17" t="n">
        <f aca="false">C14*D14</f>
        <v>25</v>
      </c>
    </row>
    <row r="15" customFormat="false" ht="15" hidden="false" customHeight="false" outlineLevel="0" collapsed="false">
      <c r="A15" s="8" t="s">
        <v>225</v>
      </c>
      <c r="B15" s="8" t="s">
        <v>226</v>
      </c>
      <c r="C15" s="9" t="n">
        <v>80</v>
      </c>
      <c r="D15" s="10" t="n">
        <v>0.35</v>
      </c>
      <c r="E15" s="16" t="s">
        <v>227</v>
      </c>
      <c r="F15" s="17" t="n">
        <f aca="false">C15*D15</f>
        <v>28</v>
      </c>
    </row>
    <row r="16" customFormat="false" ht="15" hidden="false" customHeight="false" outlineLevel="0" collapsed="false">
      <c r="A16" s="8" t="s">
        <v>228</v>
      </c>
      <c r="B16" s="8" t="s">
        <v>226</v>
      </c>
      <c r="C16" s="9" t="n">
        <v>100</v>
      </c>
      <c r="D16" s="10" t="n">
        <v>0.3</v>
      </c>
      <c r="E16" s="16" t="s">
        <v>229</v>
      </c>
      <c r="F16" s="17" t="n">
        <f aca="false">C16*D16</f>
        <v>30</v>
      </c>
    </row>
    <row r="17" customFormat="false" ht="15" hidden="false" customHeight="false" outlineLevel="0" collapsed="false">
      <c r="A17" s="8" t="s">
        <v>230</v>
      </c>
      <c r="B17" s="8" t="s">
        <v>159</v>
      </c>
      <c r="C17" s="9" t="n">
        <v>40</v>
      </c>
      <c r="D17" s="10" t="n">
        <v>0.55</v>
      </c>
      <c r="E17" s="16" t="s">
        <v>231</v>
      </c>
      <c r="F17" s="17" t="n">
        <f aca="false">C17*D17</f>
        <v>22</v>
      </c>
    </row>
    <row r="18" customFormat="false" ht="15" hidden="false" customHeight="false" outlineLevel="0" collapsed="false">
      <c r="A18" s="8" t="s">
        <v>232</v>
      </c>
      <c r="B18" s="8" t="s">
        <v>159</v>
      </c>
      <c r="C18" s="9" t="n">
        <v>60</v>
      </c>
      <c r="D18" s="10" t="n">
        <v>0.5</v>
      </c>
      <c r="E18" s="16" t="s">
        <v>233</v>
      </c>
      <c r="F18" s="17" t="n">
        <f aca="false">C18*D18</f>
        <v>30</v>
      </c>
    </row>
    <row r="19" customFormat="false" ht="15" hidden="false" customHeight="false" outlineLevel="0" collapsed="false">
      <c r="A19" s="8" t="s">
        <v>234</v>
      </c>
      <c r="B19" s="8" t="s">
        <v>159</v>
      </c>
      <c r="C19" s="9" t="n">
        <v>40</v>
      </c>
      <c r="D19" s="10" t="n">
        <v>0.25</v>
      </c>
      <c r="E19" s="16" t="s">
        <v>235</v>
      </c>
      <c r="F19" s="17" t="n">
        <f aca="false">C19*D19</f>
        <v>10</v>
      </c>
    </row>
    <row r="20" customFormat="false" ht="15" hidden="false" customHeight="false" outlineLevel="0" collapsed="false">
      <c r="A20" s="8" t="s">
        <v>236</v>
      </c>
      <c r="B20" s="8" t="s">
        <v>159</v>
      </c>
      <c r="C20" s="9" t="n">
        <v>30</v>
      </c>
      <c r="D20" s="10" t="n">
        <v>0.3</v>
      </c>
      <c r="E20" s="16" t="s">
        <v>237</v>
      </c>
      <c r="F20" s="17" t="n">
        <f aca="false">C20*D20</f>
        <v>9</v>
      </c>
    </row>
    <row r="21" customFormat="false" ht="15" hidden="false" customHeight="false" outlineLevel="0" collapsed="false">
      <c r="A21" s="8" t="s">
        <v>238</v>
      </c>
      <c r="B21" s="8" t="s">
        <v>159</v>
      </c>
      <c r="C21" s="9" t="n">
        <v>30</v>
      </c>
      <c r="D21" s="10" t="n">
        <v>0.35</v>
      </c>
      <c r="E21" s="16" t="s">
        <v>239</v>
      </c>
      <c r="F21" s="17" t="n">
        <f aca="false">C21*D21</f>
        <v>10.5</v>
      </c>
    </row>
    <row r="22" customFormat="false" ht="15" hidden="false" customHeight="false" outlineLevel="0" collapsed="false">
      <c r="A22" s="8" t="s">
        <v>240</v>
      </c>
      <c r="B22" s="8" t="s">
        <v>159</v>
      </c>
      <c r="C22" s="9" t="n">
        <v>30</v>
      </c>
      <c r="D22" s="10" t="n">
        <v>0.3</v>
      </c>
      <c r="E22" s="16" t="s">
        <v>241</v>
      </c>
      <c r="F22" s="17" t="n">
        <f aca="false">C22*D22</f>
        <v>9</v>
      </c>
    </row>
    <row r="23" customFormat="false" ht="15" hidden="false" customHeight="false" outlineLevel="0" collapsed="false">
      <c r="A23" s="8" t="s">
        <v>242</v>
      </c>
      <c r="B23" s="8" t="s">
        <v>104</v>
      </c>
      <c r="C23" s="9" t="n">
        <v>80</v>
      </c>
      <c r="D23" s="10" t="n">
        <v>0.5</v>
      </c>
      <c r="E23" s="16" t="s">
        <v>243</v>
      </c>
      <c r="F23" s="17" t="n">
        <f aca="false">C23*D23</f>
        <v>40</v>
      </c>
    </row>
    <row r="24" customFormat="false" ht="15" hidden="false" customHeight="false" outlineLevel="0" collapsed="false">
      <c r="A24" s="8" t="s">
        <v>244</v>
      </c>
      <c r="B24" s="8" t="s">
        <v>104</v>
      </c>
      <c r="C24" s="9" t="n">
        <v>60</v>
      </c>
      <c r="D24" s="10" t="n">
        <v>0.4</v>
      </c>
      <c r="E24" s="16" t="s">
        <v>245</v>
      </c>
      <c r="F24" s="17" t="n">
        <f aca="false">C24*D24</f>
        <v>24</v>
      </c>
    </row>
    <row r="25" customFormat="false" ht="15" hidden="false" customHeight="false" outlineLevel="0" collapsed="false">
      <c r="A25" s="8" t="s">
        <v>246</v>
      </c>
      <c r="B25" s="8" t="s">
        <v>104</v>
      </c>
      <c r="C25" s="9" t="n">
        <v>30</v>
      </c>
      <c r="D25" s="10" t="n">
        <v>0.35</v>
      </c>
      <c r="E25" s="16" t="s">
        <v>247</v>
      </c>
      <c r="F25" s="17" t="n">
        <f aca="false">C25*D25</f>
        <v>10.5</v>
      </c>
    </row>
    <row r="26" customFormat="false" ht="15" hidden="false" customHeight="false" outlineLevel="0" collapsed="false">
      <c r="A26" s="8" t="s">
        <v>248</v>
      </c>
      <c r="B26" s="8" t="s">
        <v>104</v>
      </c>
      <c r="C26" s="9" t="n">
        <v>50</v>
      </c>
      <c r="D26" s="10" t="n">
        <v>0.4</v>
      </c>
      <c r="E26" s="16" t="s">
        <v>249</v>
      </c>
      <c r="F26" s="17" t="n">
        <f aca="false">C26*D26</f>
        <v>20</v>
      </c>
    </row>
    <row r="27" customFormat="false" ht="15" hidden="false" customHeight="false" outlineLevel="0" collapsed="false">
      <c r="A27" s="8" t="s">
        <v>250</v>
      </c>
      <c r="B27" s="8" t="s">
        <v>104</v>
      </c>
      <c r="C27" s="9" t="n">
        <v>60</v>
      </c>
      <c r="D27" s="10" t="n">
        <v>0.5</v>
      </c>
      <c r="E27" s="16" t="s">
        <v>251</v>
      </c>
      <c r="F27" s="17" t="n">
        <f aca="false">C27*D27</f>
        <v>30</v>
      </c>
    </row>
    <row r="28" customFormat="false" ht="15" hidden="false" customHeight="false" outlineLevel="0" collapsed="false">
      <c r="A28" s="8" t="s">
        <v>252</v>
      </c>
      <c r="B28" s="8" t="s">
        <v>253</v>
      </c>
      <c r="C28" s="9" t="n">
        <v>100</v>
      </c>
      <c r="D28" s="10" t="n">
        <v>0.3</v>
      </c>
      <c r="E28" s="16" t="s">
        <v>254</v>
      </c>
      <c r="F28" s="17" t="n">
        <f aca="false">C28*D28</f>
        <v>30</v>
      </c>
    </row>
    <row r="29" customFormat="false" ht="15" hidden="false" customHeight="false" outlineLevel="0" collapsed="false">
      <c r="A29" s="8" t="s">
        <v>255</v>
      </c>
      <c r="B29" s="8" t="s">
        <v>253</v>
      </c>
      <c r="C29" s="9" t="n">
        <v>40</v>
      </c>
      <c r="D29" s="10" t="n">
        <v>0.35</v>
      </c>
      <c r="E29" s="16" t="s">
        <v>256</v>
      </c>
      <c r="F29" s="17" t="n">
        <f aca="false">C29*D29</f>
        <v>14</v>
      </c>
    </row>
    <row r="30" customFormat="false" ht="15" hidden="false" customHeight="false" outlineLevel="0" collapsed="false">
      <c r="A30" s="8" t="s">
        <v>257</v>
      </c>
      <c r="B30" s="8" t="s">
        <v>258</v>
      </c>
      <c r="C30" s="9" t="n">
        <v>100</v>
      </c>
      <c r="D30" s="10" t="n">
        <v>0.35</v>
      </c>
      <c r="E30" s="16" t="s">
        <v>259</v>
      </c>
      <c r="F30" s="17" t="n">
        <f aca="false">C30*D30</f>
        <v>35</v>
      </c>
    </row>
    <row r="31" customFormat="false" ht="15" hidden="false" customHeight="false" outlineLevel="0" collapsed="false">
      <c r="A31" s="8" t="s">
        <v>260</v>
      </c>
      <c r="B31" s="8" t="s">
        <v>258</v>
      </c>
      <c r="C31" s="9" t="n">
        <v>80</v>
      </c>
      <c r="D31" s="10" t="n">
        <v>0.2</v>
      </c>
      <c r="E31" s="16" t="s">
        <v>261</v>
      </c>
      <c r="F31" s="17" t="n">
        <f aca="false">C31*D31</f>
        <v>16</v>
      </c>
    </row>
    <row r="32" customFormat="false" ht="15" hidden="false" customHeight="false" outlineLevel="0" collapsed="false">
      <c r="A32" s="8" t="s">
        <v>262</v>
      </c>
      <c r="B32" s="8" t="s">
        <v>263</v>
      </c>
      <c r="C32" s="9" t="n">
        <v>50</v>
      </c>
      <c r="D32" s="10" t="n">
        <v>0.35</v>
      </c>
      <c r="E32" s="16" t="s">
        <v>264</v>
      </c>
      <c r="F32" s="17" t="n">
        <f aca="false">C32*D32</f>
        <v>17.5</v>
      </c>
    </row>
    <row r="33" customFormat="false" ht="15" hidden="false" customHeight="false" outlineLevel="0" collapsed="false">
      <c r="A33" s="8" t="s">
        <v>265</v>
      </c>
      <c r="B33" s="8" t="s">
        <v>263</v>
      </c>
      <c r="C33" s="9" t="n">
        <v>40</v>
      </c>
      <c r="D33" s="10" t="n">
        <v>0.3</v>
      </c>
      <c r="E33" s="16" t="s">
        <v>266</v>
      </c>
      <c r="F33" s="17" t="n">
        <f aca="false">C33*D33</f>
        <v>12</v>
      </c>
    </row>
    <row r="34" customFormat="false" ht="15" hidden="false" customHeight="false" outlineLevel="0" collapsed="false">
      <c r="A34" s="8" t="s">
        <v>267</v>
      </c>
      <c r="B34" s="8" t="s">
        <v>268</v>
      </c>
      <c r="C34" s="9" t="n">
        <v>40</v>
      </c>
      <c r="D34" s="10" t="n">
        <v>0.4</v>
      </c>
      <c r="E34" s="16" t="s">
        <v>269</v>
      </c>
      <c r="F34" s="17" t="n">
        <f aca="false">C34*D34</f>
        <v>16</v>
      </c>
    </row>
    <row r="35" customFormat="false" ht="15" hidden="false" customHeight="false" outlineLevel="0" collapsed="false">
      <c r="A35" s="8" t="s">
        <v>270</v>
      </c>
      <c r="B35" s="8" t="s">
        <v>271</v>
      </c>
      <c r="C35" s="9" t="n">
        <v>40</v>
      </c>
      <c r="D35" s="10" t="n">
        <v>0.3</v>
      </c>
      <c r="E35" s="16" t="s">
        <v>272</v>
      </c>
      <c r="F35" s="17" t="n">
        <f aca="false">C35*D35</f>
        <v>12</v>
      </c>
    </row>
    <row r="36" customFormat="false" ht="15" hidden="false" customHeight="false" outlineLevel="0" collapsed="false">
      <c r="A36" s="8" t="s">
        <v>273</v>
      </c>
      <c r="B36" s="8" t="s">
        <v>271</v>
      </c>
      <c r="C36" s="9" t="n">
        <v>30</v>
      </c>
      <c r="D36" s="10" t="n">
        <v>0.3</v>
      </c>
      <c r="E36" s="16" t="s">
        <v>274</v>
      </c>
      <c r="F36" s="17" t="n">
        <f aca="false">C36*D36</f>
        <v>9</v>
      </c>
    </row>
    <row r="37" customFormat="false" ht="15" hidden="false" customHeight="false" outlineLevel="0" collapsed="false">
      <c r="A37" s="8" t="s">
        <v>275</v>
      </c>
      <c r="B37" s="8" t="s">
        <v>276</v>
      </c>
      <c r="C37" s="9" t="n">
        <v>50</v>
      </c>
      <c r="D37" s="10" t="n">
        <v>0.5</v>
      </c>
      <c r="E37" s="16" t="s">
        <v>277</v>
      </c>
      <c r="F37" s="17" t="n">
        <f aca="false">C37*D37</f>
        <v>25</v>
      </c>
    </row>
    <row r="38" customFormat="false" ht="15" hidden="false" customHeight="false" outlineLevel="0" collapsed="false">
      <c r="A38" s="8" t="s">
        <v>278</v>
      </c>
      <c r="B38" s="8" t="s">
        <v>276</v>
      </c>
      <c r="C38" s="9" t="n">
        <v>40</v>
      </c>
      <c r="D38" s="10" t="n">
        <v>0.4</v>
      </c>
      <c r="E38" s="16" t="s">
        <v>279</v>
      </c>
      <c r="F38" s="17" t="n">
        <f aca="false">C38*D38</f>
        <v>16</v>
      </c>
    </row>
    <row r="39" customFormat="false" ht="15" hidden="false" customHeight="false" outlineLevel="0" collapsed="false">
      <c r="A39" s="8" t="s">
        <v>280</v>
      </c>
      <c r="B39" s="8" t="s">
        <v>276</v>
      </c>
      <c r="C39" s="9" t="n">
        <v>60</v>
      </c>
      <c r="D39" s="10" t="n">
        <v>0.4</v>
      </c>
      <c r="E39" s="16" t="s">
        <v>281</v>
      </c>
      <c r="F39" s="17" t="n">
        <f aca="false">C39*D39</f>
        <v>24</v>
      </c>
    </row>
    <row r="40" customFormat="false" ht="15" hidden="false" customHeight="false" outlineLevel="0" collapsed="false">
      <c r="A40" s="8" t="s">
        <v>282</v>
      </c>
      <c r="B40" s="8" t="s">
        <v>283</v>
      </c>
      <c r="C40" s="9" t="n">
        <v>40</v>
      </c>
      <c r="D40" s="10" t="n">
        <v>0.35</v>
      </c>
      <c r="E40" s="16" t="s">
        <v>284</v>
      </c>
      <c r="F40" s="17" t="n">
        <f aca="false">C40*D40</f>
        <v>14</v>
      </c>
    </row>
    <row r="41" customFormat="false" ht="15" hidden="false" customHeight="false" outlineLevel="0" collapsed="false">
      <c r="A41" s="8" t="s">
        <v>285</v>
      </c>
      <c r="B41" s="8" t="s">
        <v>283</v>
      </c>
      <c r="C41" s="9" t="n">
        <v>30</v>
      </c>
      <c r="D41" s="10" t="n">
        <v>0.3</v>
      </c>
      <c r="E41" s="16" t="s">
        <v>286</v>
      </c>
      <c r="F41" s="17" t="n">
        <f aca="false">C41*D41</f>
        <v>9</v>
      </c>
    </row>
    <row r="42" customFormat="false" ht="15" hidden="false" customHeight="false" outlineLevel="0" collapsed="false">
      <c r="A42" s="8" t="s">
        <v>287</v>
      </c>
      <c r="B42" s="8" t="s">
        <v>288</v>
      </c>
      <c r="C42" s="9" t="n">
        <v>150</v>
      </c>
      <c r="D42" s="10" t="n">
        <v>0.25</v>
      </c>
      <c r="E42" s="16" t="s">
        <v>289</v>
      </c>
      <c r="F42" s="17" t="n">
        <f aca="false">C42*D42</f>
        <v>37.5</v>
      </c>
    </row>
    <row r="43" customFormat="false" ht="15" hidden="false" customHeight="false" outlineLevel="0" collapsed="false">
      <c r="A43" s="8" t="s">
        <v>290</v>
      </c>
      <c r="B43" s="8" t="s">
        <v>288</v>
      </c>
      <c r="C43" s="9" t="n">
        <v>150</v>
      </c>
      <c r="D43" s="10" t="n">
        <v>0.25</v>
      </c>
      <c r="E43" s="16" t="s">
        <v>291</v>
      </c>
      <c r="F43" s="17" t="n">
        <f aca="false">C43*D43</f>
        <v>37.5</v>
      </c>
    </row>
    <row r="44" customFormat="false" ht="15" hidden="false" customHeight="false" outlineLevel="0" collapsed="false">
      <c r="A44" s="8" t="s">
        <v>292</v>
      </c>
      <c r="B44" s="8" t="s">
        <v>288</v>
      </c>
      <c r="C44" s="9" t="n">
        <v>100</v>
      </c>
      <c r="D44" s="10" t="n">
        <v>0.25</v>
      </c>
      <c r="E44" s="16" t="s">
        <v>293</v>
      </c>
      <c r="F44" s="17" t="n">
        <f aca="false">C44*D44</f>
        <v>25</v>
      </c>
    </row>
    <row r="45" customFormat="false" ht="15" hidden="false" customHeight="false" outlineLevel="0" collapsed="false">
      <c r="A45" s="8" t="s">
        <v>294</v>
      </c>
      <c r="B45" s="8" t="s">
        <v>288</v>
      </c>
      <c r="C45" s="9" t="n">
        <v>100</v>
      </c>
      <c r="D45" s="10" t="n">
        <v>0.3</v>
      </c>
      <c r="E45" s="16" t="s">
        <v>295</v>
      </c>
      <c r="F45" s="17" t="n">
        <f aca="false">C45*D45</f>
        <v>30</v>
      </c>
    </row>
    <row r="46" customFormat="false" ht="15" hidden="false" customHeight="false" outlineLevel="0" collapsed="false">
      <c r="A46" s="8" t="s">
        <v>296</v>
      </c>
      <c r="B46" s="8" t="s">
        <v>288</v>
      </c>
      <c r="C46" s="9" t="n">
        <v>80</v>
      </c>
      <c r="D46" s="10" t="n">
        <v>0.3</v>
      </c>
      <c r="E46" s="16" t="s">
        <v>297</v>
      </c>
      <c r="F46" s="17" t="n">
        <f aca="false">C46*D46</f>
        <v>24</v>
      </c>
    </row>
    <row r="47" customFormat="false" ht="15" hidden="false" customHeight="false" outlineLevel="0" collapsed="false">
      <c r="A47" s="8" t="s">
        <v>298</v>
      </c>
      <c r="B47" s="8" t="s">
        <v>288</v>
      </c>
      <c r="C47" s="9" t="n">
        <v>80</v>
      </c>
      <c r="D47" s="10" t="n">
        <v>0.25</v>
      </c>
      <c r="E47" s="16" t="s">
        <v>299</v>
      </c>
      <c r="F47" s="17" t="n">
        <f aca="false">C47*D47</f>
        <v>20</v>
      </c>
    </row>
    <row r="48" customFormat="false" ht="15" hidden="false" customHeight="false" outlineLevel="0" collapsed="false">
      <c r="A48" s="8" t="s">
        <v>300</v>
      </c>
      <c r="B48" s="8" t="s">
        <v>288</v>
      </c>
      <c r="C48" s="9" t="n">
        <v>80</v>
      </c>
      <c r="D48" s="10" t="n">
        <v>0.3</v>
      </c>
      <c r="E48" s="16" t="s">
        <v>301</v>
      </c>
      <c r="F48" s="17" t="n">
        <f aca="false">C48*D48</f>
        <v>24</v>
      </c>
    </row>
    <row r="49" customFormat="false" ht="15" hidden="false" customHeight="false" outlineLevel="0" collapsed="false">
      <c r="A49" s="8" t="s">
        <v>302</v>
      </c>
      <c r="B49" s="8" t="s">
        <v>288</v>
      </c>
      <c r="C49" s="9" t="n">
        <v>50</v>
      </c>
      <c r="D49" s="10" t="n">
        <v>0.35</v>
      </c>
      <c r="E49" s="16" t="s">
        <v>303</v>
      </c>
      <c r="F49" s="17" t="n">
        <f aca="false">C49*D49</f>
        <v>17.5</v>
      </c>
    </row>
    <row r="50" customFormat="false" ht="15" hidden="false" customHeight="false" outlineLevel="0" collapsed="false">
      <c r="A50" s="8" t="s">
        <v>304</v>
      </c>
      <c r="B50" s="8" t="s">
        <v>288</v>
      </c>
      <c r="C50" s="9" t="n">
        <v>40</v>
      </c>
      <c r="D50" s="10" t="n">
        <v>0.35</v>
      </c>
      <c r="E50" s="16" t="s">
        <v>305</v>
      </c>
      <c r="F50" s="17" t="n">
        <f aca="false">C50*D50</f>
        <v>14</v>
      </c>
    </row>
    <row r="51" customFormat="false" ht="15" hidden="false" customHeight="false" outlineLevel="0" collapsed="false">
      <c r="A51" s="8" t="s">
        <v>306</v>
      </c>
      <c r="B51" s="8" t="s">
        <v>288</v>
      </c>
      <c r="C51" s="9" t="n">
        <v>40</v>
      </c>
      <c r="D51" s="10" t="n">
        <v>0.3</v>
      </c>
      <c r="E51" s="16" t="s">
        <v>307</v>
      </c>
      <c r="F51" s="17" t="n">
        <f aca="false">C51*D51</f>
        <v>12</v>
      </c>
    </row>
    <row r="52" customFormat="false" ht="15" hidden="false" customHeight="false" outlineLevel="0" collapsed="false">
      <c r="A52" s="8" t="s">
        <v>308</v>
      </c>
      <c r="B52" s="8" t="s">
        <v>288</v>
      </c>
      <c r="C52" s="9" t="n">
        <v>40</v>
      </c>
      <c r="D52" s="10" t="n">
        <v>0.3</v>
      </c>
      <c r="E52" s="16" t="s">
        <v>309</v>
      </c>
      <c r="F52" s="17" t="n">
        <f aca="false">C52*D52</f>
        <v>12</v>
      </c>
    </row>
    <row r="53" customFormat="false" ht="15" hidden="false" customHeight="false" outlineLevel="0" collapsed="false">
      <c r="A53" s="8" t="s">
        <v>310</v>
      </c>
      <c r="B53" s="8" t="s">
        <v>174</v>
      </c>
      <c r="C53" s="9" t="n">
        <v>60</v>
      </c>
      <c r="D53" s="10" t="n">
        <v>0.4</v>
      </c>
      <c r="E53" s="16" t="s">
        <v>311</v>
      </c>
      <c r="F53" s="17" t="n">
        <f aca="false">C53*D53</f>
        <v>24</v>
      </c>
    </row>
    <row r="54" customFormat="false" ht="15" hidden="false" customHeight="false" outlineLevel="0" collapsed="false">
      <c r="A54" s="8" t="s">
        <v>312</v>
      </c>
      <c r="B54" s="8" t="s">
        <v>174</v>
      </c>
      <c r="C54" s="9" t="n">
        <v>40</v>
      </c>
      <c r="D54" s="10" t="n">
        <v>0.4</v>
      </c>
      <c r="E54" s="16" t="s">
        <v>313</v>
      </c>
      <c r="F54" s="17" t="n">
        <f aca="false">C54*D54</f>
        <v>16</v>
      </c>
    </row>
    <row r="55" customFormat="false" ht="15" hidden="false" customHeight="false" outlineLevel="0" collapsed="false">
      <c r="A55" s="8" t="s">
        <v>314</v>
      </c>
      <c r="B55" s="8" t="s">
        <v>315</v>
      </c>
      <c r="C55" s="9" t="n">
        <v>40</v>
      </c>
      <c r="D55" s="10" t="n">
        <v>0.25</v>
      </c>
      <c r="E55" s="16" t="s">
        <v>316</v>
      </c>
      <c r="F55" s="17" t="n">
        <f aca="false">C55*D55</f>
        <v>10</v>
      </c>
    </row>
    <row r="56" customFormat="false" ht="15" hidden="false" customHeight="false" outlineLevel="0" collapsed="false">
      <c r="A56" s="8" t="s">
        <v>317</v>
      </c>
      <c r="B56" s="8" t="s">
        <v>318</v>
      </c>
      <c r="C56" s="9" t="n">
        <v>40</v>
      </c>
      <c r="D56" s="10" t="n">
        <v>0.35</v>
      </c>
      <c r="E56" s="16" t="s">
        <v>319</v>
      </c>
      <c r="F56" s="17" t="n">
        <f aca="false">C56*D56</f>
        <v>14</v>
      </c>
    </row>
    <row r="57" customFormat="false" ht="15" hidden="false" customHeight="false" outlineLevel="0" collapsed="false">
      <c r="A57" s="8" t="s">
        <v>320</v>
      </c>
      <c r="B57" s="8" t="s">
        <v>318</v>
      </c>
      <c r="C57" s="9" t="n">
        <v>30</v>
      </c>
      <c r="D57" s="10" t="n">
        <v>0.25</v>
      </c>
      <c r="E57" s="16" t="s">
        <v>321</v>
      </c>
      <c r="F57" s="17" t="n">
        <f aca="false">C57*D57</f>
        <v>7.5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4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5" t="s">
        <v>322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7" t="s">
        <v>35</v>
      </c>
      <c r="B2" s="7" t="s">
        <v>36</v>
      </c>
      <c r="C2" s="7" t="s">
        <v>13</v>
      </c>
      <c r="D2" s="7" t="s">
        <v>37</v>
      </c>
      <c r="E2" s="7" t="s">
        <v>38</v>
      </c>
      <c r="F2" s="7" t="s">
        <v>39</v>
      </c>
    </row>
    <row r="3" customFormat="false" ht="15" hidden="false" customHeight="false" outlineLevel="0" collapsed="false">
      <c r="A3" s="8" t="s">
        <v>323</v>
      </c>
      <c r="B3" s="8" t="s">
        <v>324</v>
      </c>
      <c r="C3" s="9" t="n">
        <v>100</v>
      </c>
      <c r="D3" s="10" t="n">
        <v>0.35</v>
      </c>
      <c r="E3" s="16" t="s">
        <v>325</v>
      </c>
      <c r="F3" s="17" t="n">
        <f aca="false">C3*D3</f>
        <v>35</v>
      </c>
    </row>
    <row r="4" customFormat="false" ht="15" hidden="false" customHeight="false" outlineLevel="0" collapsed="false">
      <c r="A4" s="8" t="s">
        <v>326</v>
      </c>
      <c r="B4" s="8" t="s">
        <v>324</v>
      </c>
      <c r="C4" s="9" t="n">
        <v>150</v>
      </c>
      <c r="D4" s="10" t="n">
        <v>0.3</v>
      </c>
      <c r="E4" s="16" t="s">
        <v>327</v>
      </c>
      <c r="F4" s="17" t="n">
        <f aca="false">C4*D4</f>
        <v>45</v>
      </c>
    </row>
    <row r="5" customFormat="false" ht="15" hidden="false" customHeight="false" outlineLevel="0" collapsed="false">
      <c r="A5" s="8" t="s">
        <v>328</v>
      </c>
      <c r="B5" s="8" t="s">
        <v>324</v>
      </c>
      <c r="C5" s="9" t="n">
        <v>100</v>
      </c>
      <c r="D5" s="10" t="n">
        <v>0.3</v>
      </c>
      <c r="E5" s="16" t="s">
        <v>329</v>
      </c>
      <c r="F5" s="17" t="n">
        <f aca="false">C5*D5</f>
        <v>30</v>
      </c>
    </row>
    <row r="6" customFormat="false" ht="15" hidden="false" customHeight="false" outlineLevel="0" collapsed="false">
      <c r="A6" s="8" t="s">
        <v>330</v>
      </c>
      <c r="B6" s="8" t="s">
        <v>324</v>
      </c>
      <c r="C6" s="9" t="n">
        <v>120</v>
      </c>
      <c r="D6" s="10" t="n">
        <v>0.25</v>
      </c>
      <c r="E6" s="16" t="s">
        <v>331</v>
      </c>
      <c r="F6" s="17" t="n">
        <f aca="false">C6*D6</f>
        <v>30</v>
      </c>
    </row>
    <row r="7" customFormat="false" ht="15" hidden="false" customHeight="false" outlineLevel="0" collapsed="false">
      <c r="A7" s="8" t="s">
        <v>332</v>
      </c>
      <c r="B7" s="8" t="s">
        <v>192</v>
      </c>
      <c r="C7" s="9" t="n">
        <v>100</v>
      </c>
      <c r="D7" s="10" t="n">
        <v>0.3</v>
      </c>
      <c r="E7" s="16" t="s">
        <v>333</v>
      </c>
      <c r="F7" s="17" t="n">
        <f aca="false">C7*D7</f>
        <v>30</v>
      </c>
    </row>
    <row r="8" customFormat="false" ht="15" hidden="false" customHeight="false" outlineLevel="0" collapsed="false">
      <c r="A8" s="8" t="s">
        <v>334</v>
      </c>
      <c r="B8" s="8" t="s">
        <v>335</v>
      </c>
      <c r="C8" s="9" t="n">
        <v>200</v>
      </c>
      <c r="D8" s="10" t="n">
        <v>0.35</v>
      </c>
      <c r="E8" s="16" t="s">
        <v>336</v>
      </c>
      <c r="F8" s="17" t="n">
        <f aca="false">C8*D8</f>
        <v>70</v>
      </c>
    </row>
    <row r="9" customFormat="false" ht="15" hidden="false" customHeight="false" outlineLevel="0" collapsed="false">
      <c r="A9" s="8" t="s">
        <v>337</v>
      </c>
      <c r="B9" s="8" t="s">
        <v>335</v>
      </c>
      <c r="C9" s="9" t="n">
        <v>150</v>
      </c>
      <c r="D9" s="10" t="n">
        <v>0.35</v>
      </c>
      <c r="E9" s="16" t="s">
        <v>338</v>
      </c>
      <c r="F9" s="17" t="n">
        <f aca="false">C9*D9</f>
        <v>52.5</v>
      </c>
    </row>
    <row r="10" customFormat="false" ht="15" hidden="false" customHeight="false" outlineLevel="0" collapsed="false">
      <c r="A10" s="8" t="s">
        <v>339</v>
      </c>
      <c r="B10" s="8" t="s">
        <v>335</v>
      </c>
      <c r="C10" s="9" t="n">
        <v>100</v>
      </c>
      <c r="D10" s="10" t="n">
        <v>0.3</v>
      </c>
      <c r="E10" s="16" t="s">
        <v>340</v>
      </c>
      <c r="F10" s="17" t="n">
        <f aca="false">C10*D10</f>
        <v>30</v>
      </c>
    </row>
    <row r="11" customFormat="false" ht="15" hidden="false" customHeight="false" outlineLevel="0" collapsed="false">
      <c r="A11" s="8" t="s">
        <v>341</v>
      </c>
      <c r="B11" s="8" t="s">
        <v>335</v>
      </c>
      <c r="C11" s="9" t="n">
        <v>60</v>
      </c>
      <c r="D11" s="10" t="n">
        <v>0.4</v>
      </c>
      <c r="E11" s="16" t="s">
        <v>342</v>
      </c>
      <c r="F11" s="17" t="n">
        <f aca="false">C11*D11</f>
        <v>24</v>
      </c>
    </row>
    <row r="12" customFormat="false" ht="15" hidden="false" customHeight="false" outlineLevel="0" collapsed="false">
      <c r="A12" s="8" t="s">
        <v>343</v>
      </c>
      <c r="B12" s="8" t="s">
        <v>335</v>
      </c>
      <c r="C12" s="9" t="n">
        <v>120</v>
      </c>
      <c r="D12" s="10" t="n">
        <v>0.35</v>
      </c>
      <c r="E12" s="16" t="s">
        <v>344</v>
      </c>
      <c r="F12" s="17" t="n">
        <f aca="false">C12*D12</f>
        <v>42</v>
      </c>
    </row>
    <row r="13" customFormat="false" ht="15" hidden="false" customHeight="false" outlineLevel="0" collapsed="false">
      <c r="A13" s="8" t="s">
        <v>345</v>
      </c>
      <c r="B13" s="8" t="s">
        <v>346</v>
      </c>
      <c r="C13" s="9" t="n">
        <v>80</v>
      </c>
      <c r="D13" s="10" t="n">
        <v>0.3</v>
      </c>
      <c r="E13" s="16" t="s">
        <v>347</v>
      </c>
      <c r="F13" s="17" t="n">
        <f aca="false">C13*D13</f>
        <v>24</v>
      </c>
    </row>
    <row r="14" customFormat="false" ht="15" hidden="false" customHeight="false" outlineLevel="0" collapsed="false">
      <c r="A14" s="8" t="s">
        <v>348</v>
      </c>
      <c r="B14" s="8" t="s">
        <v>349</v>
      </c>
      <c r="C14" s="9" t="n">
        <v>60</v>
      </c>
      <c r="D14" s="10" t="n">
        <v>0.25</v>
      </c>
      <c r="E14" s="16" t="s">
        <v>350</v>
      </c>
      <c r="F14" s="17" t="n">
        <f aca="false">C14*D14</f>
        <v>15</v>
      </c>
    </row>
    <row r="15" customFormat="false" ht="15" hidden="false" customHeight="false" outlineLevel="0" collapsed="false">
      <c r="A15" s="8" t="s">
        <v>351</v>
      </c>
      <c r="B15" s="8" t="s">
        <v>352</v>
      </c>
      <c r="C15" s="9" t="n">
        <v>60</v>
      </c>
      <c r="D15" s="10" t="n">
        <v>0.3</v>
      </c>
      <c r="E15" s="16" t="s">
        <v>353</v>
      </c>
      <c r="F15" s="17" t="n">
        <f aca="false">C15*D15</f>
        <v>18</v>
      </c>
    </row>
    <row r="16" customFormat="false" ht="15" hidden="false" customHeight="false" outlineLevel="0" collapsed="false">
      <c r="A16" s="8" t="s">
        <v>354</v>
      </c>
      <c r="B16" s="8" t="s">
        <v>355</v>
      </c>
      <c r="C16" s="9" t="n">
        <v>80</v>
      </c>
      <c r="D16" s="10" t="n">
        <v>0.3</v>
      </c>
      <c r="E16" s="16" t="s">
        <v>356</v>
      </c>
      <c r="F16" s="17" t="n">
        <f aca="false">C16*D16</f>
        <v>24</v>
      </c>
    </row>
    <row r="17" customFormat="false" ht="15" hidden="false" customHeight="false" outlineLevel="0" collapsed="false">
      <c r="A17" s="8" t="s">
        <v>357</v>
      </c>
      <c r="B17" s="8" t="s">
        <v>355</v>
      </c>
      <c r="C17" s="9" t="n">
        <v>60</v>
      </c>
      <c r="D17" s="10" t="n">
        <v>0.25</v>
      </c>
      <c r="E17" s="16" t="s">
        <v>358</v>
      </c>
      <c r="F17" s="17" t="n">
        <f aca="false">C17*D17</f>
        <v>15</v>
      </c>
    </row>
    <row r="18" customFormat="false" ht="15" hidden="false" customHeight="false" outlineLevel="0" collapsed="false">
      <c r="A18" s="8" t="s">
        <v>359</v>
      </c>
      <c r="B18" s="8" t="s">
        <v>104</v>
      </c>
      <c r="C18" s="9" t="n">
        <v>50</v>
      </c>
      <c r="D18" s="10" t="n">
        <v>0.3</v>
      </c>
      <c r="E18" s="16" t="s">
        <v>360</v>
      </c>
      <c r="F18" s="17" t="n">
        <f aca="false">C18*D18</f>
        <v>15</v>
      </c>
    </row>
    <row r="19" customFormat="false" ht="15" hidden="false" customHeight="false" outlineLevel="0" collapsed="false">
      <c r="A19" s="8" t="s">
        <v>361</v>
      </c>
      <c r="B19" s="8" t="s">
        <v>362</v>
      </c>
      <c r="C19" s="9" t="n">
        <v>40</v>
      </c>
      <c r="D19" s="10" t="n">
        <v>0.35</v>
      </c>
      <c r="E19" s="16" t="s">
        <v>363</v>
      </c>
      <c r="F19" s="17" t="n">
        <f aca="false">C19*D19</f>
        <v>14</v>
      </c>
    </row>
    <row r="20" customFormat="false" ht="15" hidden="false" customHeight="false" outlineLevel="0" collapsed="false">
      <c r="A20" s="8" t="s">
        <v>364</v>
      </c>
      <c r="B20" s="8" t="s">
        <v>365</v>
      </c>
      <c r="C20" s="9" t="n">
        <v>150</v>
      </c>
      <c r="D20" s="10" t="n">
        <v>0.2</v>
      </c>
      <c r="E20" s="16" t="s">
        <v>366</v>
      </c>
      <c r="F20" s="17" t="n">
        <f aca="false">C20*D20</f>
        <v>30</v>
      </c>
    </row>
    <row r="21" customFormat="false" ht="15" hidden="false" customHeight="false" outlineLevel="0" collapsed="false">
      <c r="A21" s="8" t="s">
        <v>367</v>
      </c>
      <c r="B21" s="8" t="s">
        <v>365</v>
      </c>
      <c r="C21" s="9" t="n">
        <v>200</v>
      </c>
      <c r="D21" s="10" t="n">
        <v>0.15</v>
      </c>
      <c r="E21" s="16" t="s">
        <v>368</v>
      </c>
      <c r="F21" s="17" t="n">
        <f aca="false">C21*D21</f>
        <v>30</v>
      </c>
    </row>
    <row r="22" customFormat="false" ht="15" hidden="false" customHeight="false" outlineLevel="0" collapsed="false">
      <c r="A22" s="8" t="s">
        <v>369</v>
      </c>
      <c r="B22" s="8" t="s">
        <v>370</v>
      </c>
      <c r="C22" s="9" t="n">
        <v>80</v>
      </c>
      <c r="D22" s="10" t="n">
        <v>0.25</v>
      </c>
      <c r="E22" s="16" t="s">
        <v>371</v>
      </c>
      <c r="F22" s="17" t="n">
        <f aca="false">C22*D22</f>
        <v>20</v>
      </c>
    </row>
    <row r="23" customFormat="false" ht="15" hidden="false" customHeight="false" outlineLevel="0" collapsed="false">
      <c r="A23" s="8" t="s">
        <v>372</v>
      </c>
      <c r="B23" s="8" t="s">
        <v>373</v>
      </c>
      <c r="C23" s="9" t="n">
        <v>100</v>
      </c>
      <c r="D23" s="10" t="n">
        <v>0.3</v>
      </c>
      <c r="E23" s="16" t="s">
        <v>374</v>
      </c>
      <c r="F23" s="17" t="n">
        <f aca="false">C23*D23</f>
        <v>30</v>
      </c>
    </row>
    <row r="24" customFormat="false" ht="15" hidden="false" customHeight="false" outlineLevel="0" collapsed="false">
      <c r="A24" s="8" t="s">
        <v>375</v>
      </c>
      <c r="B24" s="8" t="s">
        <v>376</v>
      </c>
      <c r="C24" s="9" t="n">
        <v>40</v>
      </c>
      <c r="D24" s="10" t="n">
        <v>0.35</v>
      </c>
      <c r="E24" s="16" t="s">
        <v>377</v>
      </c>
      <c r="F24" s="17" t="n">
        <f aca="false">C24*D24</f>
        <v>14</v>
      </c>
    </row>
    <row r="25" customFormat="false" ht="15" hidden="false" customHeight="false" outlineLevel="0" collapsed="false">
      <c r="A25" s="8" t="s">
        <v>378</v>
      </c>
      <c r="B25" s="8" t="s">
        <v>219</v>
      </c>
      <c r="C25" s="9" t="n">
        <v>30</v>
      </c>
      <c r="D25" s="10" t="n">
        <v>0.35</v>
      </c>
      <c r="E25" s="16" t="s">
        <v>379</v>
      </c>
      <c r="F25" s="17" t="n">
        <f aca="false">C25*D25</f>
        <v>10.5</v>
      </c>
    </row>
    <row r="26" customFormat="false" ht="15" hidden="false" customHeight="false" outlineLevel="0" collapsed="false">
      <c r="A26" s="8" t="s">
        <v>380</v>
      </c>
      <c r="B26" s="8" t="s">
        <v>381</v>
      </c>
      <c r="C26" s="9" t="n">
        <v>60</v>
      </c>
      <c r="D26" s="10" t="n">
        <v>0.25</v>
      </c>
      <c r="E26" s="16" t="s">
        <v>382</v>
      </c>
      <c r="F26" s="17" t="n">
        <f aca="false">C26*D26</f>
        <v>15</v>
      </c>
    </row>
    <row r="27" customFormat="false" ht="15" hidden="false" customHeight="false" outlineLevel="0" collapsed="false">
      <c r="A27" s="8" t="s">
        <v>383</v>
      </c>
      <c r="B27" s="8" t="s">
        <v>384</v>
      </c>
      <c r="C27" s="9" t="n">
        <v>30</v>
      </c>
      <c r="D27" s="10" t="n">
        <v>0.3</v>
      </c>
      <c r="E27" s="16" t="s">
        <v>385</v>
      </c>
      <c r="F27" s="17" t="n">
        <f aca="false">C27*D27</f>
        <v>9</v>
      </c>
    </row>
    <row r="28" customFormat="false" ht="15" hidden="false" customHeight="false" outlineLevel="0" collapsed="false">
      <c r="A28" s="8" t="s">
        <v>386</v>
      </c>
      <c r="B28" s="8" t="s">
        <v>387</v>
      </c>
      <c r="C28" s="9" t="n">
        <v>80</v>
      </c>
      <c r="D28" s="10" t="n">
        <v>0.15</v>
      </c>
      <c r="E28" s="16" t="s">
        <v>388</v>
      </c>
      <c r="F28" s="17" t="n">
        <f aca="false">C28*D28</f>
        <v>12</v>
      </c>
    </row>
    <row r="29" customFormat="false" ht="15" hidden="false" customHeight="false" outlineLevel="0" collapsed="false">
      <c r="A29" s="8" t="s">
        <v>389</v>
      </c>
      <c r="B29" s="8" t="s">
        <v>390</v>
      </c>
      <c r="C29" s="9" t="n">
        <v>100</v>
      </c>
      <c r="D29" s="10" t="n">
        <v>0.3</v>
      </c>
      <c r="E29" s="16" t="s">
        <v>391</v>
      </c>
      <c r="F29" s="17" t="n">
        <f aca="false">C29*D29</f>
        <v>30</v>
      </c>
    </row>
    <row r="30" customFormat="false" ht="15" hidden="false" customHeight="false" outlineLevel="0" collapsed="false">
      <c r="A30" s="8" t="s">
        <v>392</v>
      </c>
      <c r="B30" s="8" t="s">
        <v>390</v>
      </c>
      <c r="C30" s="9" t="n">
        <v>80</v>
      </c>
      <c r="D30" s="10" t="n">
        <v>0.35</v>
      </c>
      <c r="E30" s="16" t="s">
        <v>393</v>
      </c>
      <c r="F30" s="17" t="n">
        <f aca="false">C30*D30</f>
        <v>28</v>
      </c>
    </row>
    <row r="31" customFormat="false" ht="15" hidden="false" customHeight="false" outlineLevel="0" collapsed="false">
      <c r="A31" s="8" t="s">
        <v>394</v>
      </c>
      <c r="B31" s="8" t="s">
        <v>192</v>
      </c>
      <c r="C31" s="9" t="n">
        <v>40</v>
      </c>
      <c r="D31" s="10" t="n">
        <v>0.3</v>
      </c>
      <c r="E31" s="16" t="s">
        <v>395</v>
      </c>
      <c r="F31" s="17" t="n">
        <f aca="false">C31*D31</f>
        <v>12</v>
      </c>
    </row>
    <row r="32" customFormat="false" ht="15" hidden="false" customHeight="false" outlineLevel="0" collapsed="false">
      <c r="A32" s="8" t="s">
        <v>396</v>
      </c>
      <c r="B32" s="8" t="s">
        <v>397</v>
      </c>
      <c r="C32" s="9" t="n">
        <v>30</v>
      </c>
      <c r="D32" s="10" t="n">
        <v>0.3</v>
      </c>
      <c r="E32" s="16" t="s">
        <v>398</v>
      </c>
      <c r="F32" s="17" t="n">
        <f aca="false">C32*D32</f>
        <v>9</v>
      </c>
    </row>
    <row r="33" customFormat="false" ht="15" hidden="false" customHeight="false" outlineLevel="0" collapsed="false">
      <c r="A33" s="8" t="s">
        <v>399</v>
      </c>
      <c r="B33" s="8" t="s">
        <v>400</v>
      </c>
      <c r="C33" s="9" t="n">
        <v>30</v>
      </c>
      <c r="D33" s="10" t="n">
        <v>0.2</v>
      </c>
      <c r="E33" s="16" t="s">
        <v>401</v>
      </c>
      <c r="F33" s="17" t="n">
        <f aca="false">C33*D33</f>
        <v>6</v>
      </c>
    </row>
    <row r="34" customFormat="false" ht="15" hidden="false" customHeight="false" outlineLevel="0" collapsed="false">
      <c r="A34" s="8" t="s">
        <v>402</v>
      </c>
      <c r="B34" s="8" t="s">
        <v>403</v>
      </c>
      <c r="C34" s="9" t="n">
        <v>60</v>
      </c>
      <c r="D34" s="10" t="n">
        <v>0.4</v>
      </c>
      <c r="E34" s="16" t="s">
        <v>404</v>
      </c>
      <c r="F34" s="17" t="n">
        <f aca="false">C34*D34</f>
        <v>24</v>
      </c>
    </row>
    <row r="35" customFormat="false" ht="15" hidden="false" customHeight="false" outlineLevel="0" collapsed="false">
      <c r="A35" s="8" t="s">
        <v>405</v>
      </c>
      <c r="B35" s="8" t="s">
        <v>403</v>
      </c>
      <c r="C35" s="9" t="n">
        <v>40</v>
      </c>
      <c r="D35" s="10" t="n">
        <v>0.4</v>
      </c>
      <c r="E35" s="16" t="s">
        <v>406</v>
      </c>
      <c r="F35" s="17" t="n">
        <f aca="false">C35*D35</f>
        <v>16</v>
      </c>
    </row>
    <row r="36" customFormat="false" ht="15" hidden="false" customHeight="false" outlineLevel="0" collapsed="false">
      <c r="A36" s="8" t="s">
        <v>407</v>
      </c>
      <c r="B36" s="8" t="s">
        <v>403</v>
      </c>
      <c r="C36" s="9" t="n">
        <v>40</v>
      </c>
      <c r="D36" s="10" t="n">
        <v>0.4</v>
      </c>
      <c r="E36" s="16" t="s">
        <v>408</v>
      </c>
      <c r="F36" s="17" t="n">
        <f aca="false">C36*D36</f>
        <v>16</v>
      </c>
    </row>
    <row r="37" customFormat="false" ht="15" hidden="false" customHeight="false" outlineLevel="0" collapsed="false">
      <c r="A37" s="8" t="s">
        <v>409</v>
      </c>
      <c r="B37" s="8" t="s">
        <v>335</v>
      </c>
      <c r="C37" s="9" t="n">
        <v>40</v>
      </c>
      <c r="D37" s="10" t="n">
        <v>0.4</v>
      </c>
      <c r="E37" s="16" t="s">
        <v>410</v>
      </c>
      <c r="F37" s="17" t="n">
        <f aca="false">C37*D37</f>
        <v>16</v>
      </c>
    </row>
    <row r="38" customFormat="false" ht="15" hidden="false" customHeight="false" outlineLevel="0" collapsed="false">
      <c r="A38" s="8" t="s">
        <v>411</v>
      </c>
      <c r="B38" s="8" t="s">
        <v>412</v>
      </c>
      <c r="C38" s="9" t="n">
        <v>30</v>
      </c>
      <c r="D38" s="10" t="n">
        <v>0.3</v>
      </c>
      <c r="E38" s="16" t="s">
        <v>413</v>
      </c>
      <c r="F38" s="17" t="n">
        <f aca="false">C38*D38</f>
        <v>9</v>
      </c>
    </row>
    <row r="39" customFormat="false" ht="15" hidden="false" customHeight="false" outlineLevel="0" collapsed="false">
      <c r="A39" s="8" t="s">
        <v>414</v>
      </c>
      <c r="B39" s="8" t="s">
        <v>415</v>
      </c>
      <c r="C39" s="9" t="n">
        <v>30</v>
      </c>
      <c r="D39" s="10" t="n">
        <v>0.25</v>
      </c>
      <c r="E39" s="16" t="s">
        <v>416</v>
      </c>
      <c r="F39" s="17" t="n">
        <f aca="false">C39*D39</f>
        <v>7.5</v>
      </c>
    </row>
    <row r="40" customFormat="false" ht="15" hidden="false" customHeight="false" outlineLevel="0" collapsed="false">
      <c r="A40" s="8" t="s">
        <v>417</v>
      </c>
      <c r="B40" s="8" t="s">
        <v>418</v>
      </c>
      <c r="C40" s="9" t="n">
        <v>60</v>
      </c>
      <c r="D40" s="10" t="n">
        <v>0.1</v>
      </c>
      <c r="E40" s="16" t="s">
        <v>419</v>
      </c>
      <c r="F40" s="17" t="n">
        <f aca="false">C40*D40</f>
        <v>6</v>
      </c>
    </row>
    <row r="41" customFormat="false" ht="15" hidden="false" customHeight="false" outlineLevel="0" collapsed="false">
      <c r="A41" s="8" t="s">
        <v>420</v>
      </c>
      <c r="B41" s="8" t="s">
        <v>421</v>
      </c>
      <c r="C41" s="9" t="n">
        <v>40</v>
      </c>
      <c r="D41" s="10" t="n">
        <v>0.2</v>
      </c>
      <c r="E41" s="16" t="s">
        <v>422</v>
      </c>
      <c r="F41" s="17" t="n">
        <f aca="false">C41*D41</f>
        <v>8</v>
      </c>
    </row>
    <row r="42" customFormat="false" ht="15" hidden="false" customHeight="false" outlineLevel="0" collapsed="false">
      <c r="A42" s="8" t="s">
        <v>423</v>
      </c>
      <c r="B42" s="8" t="s">
        <v>424</v>
      </c>
      <c r="C42" s="9" t="n">
        <v>30</v>
      </c>
      <c r="D42" s="10" t="n">
        <v>0.25</v>
      </c>
      <c r="E42" s="16" t="s">
        <v>425</v>
      </c>
      <c r="F42" s="17" t="n">
        <f aca="false">C42*D42</f>
        <v>7.5</v>
      </c>
    </row>
    <row r="43" customFormat="false" ht="15" hidden="false" customHeight="false" outlineLevel="0" collapsed="false">
      <c r="A43" s="8" t="s">
        <v>426</v>
      </c>
      <c r="B43" s="8" t="s">
        <v>427</v>
      </c>
      <c r="C43" s="9" t="n">
        <v>40</v>
      </c>
      <c r="D43" s="10" t="n">
        <v>0.3</v>
      </c>
      <c r="E43" s="16" t="s">
        <v>428</v>
      </c>
      <c r="F43" s="17" t="n">
        <f aca="false">C43*D43</f>
        <v>12</v>
      </c>
    </row>
    <row r="44" customFormat="false" ht="15" hidden="false" customHeight="false" outlineLevel="0" collapsed="false">
      <c r="A44" s="8" t="s">
        <v>429</v>
      </c>
      <c r="B44" s="8" t="s">
        <v>430</v>
      </c>
      <c r="C44" s="9" t="n">
        <v>40</v>
      </c>
      <c r="D44" s="10" t="n">
        <v>0.25</v>
      </c>
      <c r="E44" s="16" t="s">
        <v>431</v>
      </c>
      <c r="F44" s="17" t="n">
        <f aca="false">C44*D44</f>
        <v>10</v>
      </c>
    </row>
    <row r="45" customFormat="false" ht="15" hidden="false" customHeight="false" outlineLevel="0" collapsed="false">
      <c r="A45" s="8" t="s">
        <v>432</v>
      </c>
      <c r="B45" s="8" t="s">
        <v>433</v>
      </c>
      <c r="C45" s="9" t="n">
        <v>30</v>
      </c>
      <c r="D45" s="10" t="n">
        <v>0.3</v>
      </c>
      <c r="E45" s="16" t="s">
        <v>434</v>
      </c>
      <c r="F45" s="17" t="n">
        <f aca="false">C45*D45</f>
        <v>9</v>
      </c>
    </row>
    <row r="46" customFormat="false" ht="15" hidden="false" customHeight="false" outlineLevel="0" collapsed="false">
      <c r="A46" s="8" t="s">
        <v>435</v>
      </c>
      <c r="B46" s="8" t="s">
        <v>433</v>
      </c>
      <c r="C46" s="9" t="n">
        <v>20</v>
      </c>
      <c r="D46" s="10" t="n">
        <v>0.3</v>
      </c>
      <c r="E46" s="16" t="s">
        <v>436</v>
      </c>
      <c r="F46" s="17" t="n">
        <f aca="false">C46*D46</f>
        <v>6</v>
      </c>
    </row>
    <row r="47" customFormat="false" ht="15" hidden="false" customHeight="false" outlineLevel="0" collapsed="false">
      <c r="A47" s="8" t="s">
        <v>437</v>
      </c>
      <c r="B47" s="8" t="s">
        <v>433</v>
      </c>
      <c r="C47" s="9" t="n">
        <v>30</v>
      </c>
      <c r="D47" s="10" t="n">
        <v>0.3</v>
      </c>
      <c r="E47" s="16" t="s">
        <v>438</v>
      </c>
      <c r="F47" s="17" t="n">
        <f aca="false">C47*D47</f>
        <v>9</v>
      </c>
    </row>
    <row r="48" customFormat="false" ht="15" hidden="false" customHeight="false" outlineLevel="0" collapsed="false">
      <c r="A48" s="8" t="s">
        <v>439</v>
      </c>
      <c r="B48" s="8" t="s">
        <v>440</v>
      </c>
      <c r="C48" s="9" t="n">
        <v>40</v>
      </c>
      <c r="D48" s="10" t="n">
        <v>0.4</v>
      </c>
      <c r="E48" s="16" t="s">
        <v>441</v>
      </c>
      <c r="F48" s="17" t="n">
        <f aca="false">C48*D48</f>
        <v>16</v>
      </c>
    </row>
    <row r="49" customFormat="false" ht="15" hidden="false" customHeight="false" outlineLevel="0" collapsed="false">
      <c r="A49" s="8" t="s">
        <v>442</v>
      </c>
      <c r="B49" s="8" t="s">
        <v>440</v>
      </c>
      <c r="C49" s="9" t="n">
        <v>30</v>
      </c>
      <c r="D49" s="10" t="n">
        <v>0.3</v>
      </c>
      <c r="E49" s="16" t="s">
        <v>443</v>
      </c>
      <c r="F49" s="17" t="n">
        <f aca="false">C49*D49</f>
        <v>9</v>
      </c>
    </row>
    <row r="50" customFormat="false" ht="15" hidden="false" customHeight="false" outlineLevel="0" collapsed="false">
      <c r="A50" s="8" t="s">
        <v>444</v>
      </c>
      <c r="B50" s="8" t="s">
        <v>445</v>
      </c>
      <c r="C50" s="9" t="n">
        <v>30</v>
      </c>
      <c r="D50" s="10" t="n">
        <v>0.35</v>
      </c>
      <c r="E50" s="16" t="s">
        <v>446</v>
      </c>
      <c r="F50" s="17" t="n">
        <f aca="false">C50*D50</f>
        <v>10.5</v>
      </c>
    </row>
    <row r="51" customFormat="false" ht="15" hidden="false" customHeight="false" outlineLevel="0" collapsed="false">
      <c r="A51" s="8" t="s">
        <v>447</v>
      </c>
      <c r="B51" s="8" t="s">
        <v>448</v>
      </c>
      <c r="C51" s="9" t="n">
        <v>20</v>
      </c>
      <c r="D51" s="10" t="n">
        <v>0.2</v>
      </c>
      <c r="E51" s="16" t="s">
        <v>449</v>
      </c>
      <c r="F51" s="17" t="n">
        <f aca="false">C51*D51</f>
        <v>4</v>
      </c>
    </row>
    <row r="52" customFormat="false" ht="15" hidden="false" customHeight="false" outlineLevel="0" collapsed="false">
      <c r="A52" s="8" t="s">
        <v>450</v>
      </c>
      <c r="B52" s="8" t="s">
        <v>451</v>
      </c>
      <c r="C52" s="9" t="n">
        <v>20</v>
      </c>
      <c r="D52" s="10" t="n">
        <v>0.35</v>
      </c>
      <c r="E52" s="16" t="s">
        <v>452</v>
      </c>
      <c r="F52" s="17" t="n">
        <f aca="false">C52*D52</f>
        <v>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4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5" t="s">
        <v>453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7" t="s">
        <v>35</v>
      </c>
      <c r="B2" s="7" t="s">
        <v>36</v>
      </c>
      <c r="C2" s="7" t="s">
        <v>13</v>
      </c>
      <c r="D2" s="7" t="s">
        <v>37</v>
      </c>
      <c r="E2" s="7" t="s">
        <v>38</v>
      </c>
      <c r="F2" s="7" t="s">
        <v>39</v>
      </c>
    </row>
    <row r="3" customFormat="false" ht="15" hidden="false" customHeight="false" outlineLevel="0" collapsed="false">
      <c r="A3" s="8" t="s">
        <v>454</v>
      </c>
      <c r="B3" s="8" t="s">
        <v>455</v>
      </c>
      <c r="C3" s="9" t="n">
        <v>100</v>
      </c>
      <c r="D3" s="10" t="n">
        <v>0.3</v>
      </c>
      <c r="E3" s="16" t="s">
        <v>456</v>
      </c>
      <c r="F3" s="17" t="n">
        <f aca="false">C3*D3</f>
        <v>30</v>
      </c>
    </row>
    <row r="4" customFormat="false" ht="15" hidden="false" customHeight="false" outlineLevel="0" collapsed="false">
      <c r="A4" s="8" t="s">
        <v>457</v>
      </c>
      <c r="B4" s="8" t="s">
        <v>455</v>
      </c>
      <c r="C4" s="9" t="n">
        <v>80</v>
      </c>
      <c r="D4" s="10" t="n">
        <v>0.25</v>
      </c>
      <c r="E4" s="16" t="s">
        <v>458</v>
      </c>
      <c r="F4" s="17" t="n">
        <f aca="false">C4*D4</f>
        <v>20</v>
      </c>
    </row>
    <row r="5" customFormat="false" ht="15" hidden="false" customHeight="false" outlineLevel="0" collapsed="false">
      <c r="A5" s="8" t="s">
        <v>459</v>
      </c>
      <c r="B5" s="8" t="s">
        <v>455</v>
      </c>
      <c r="C5" s="9" t="n">
        <v>60</v>
      </c>
      <c r="D5" s="10" t="n">
        <v>0.3</v>
      </c>
      <c r="E5" s="16" t="s">
        <v>460</v>
      </c>
      <c r="F5" s="17" t="n">
        <f aca="false">C5*D5</f>
        <v>18</v>
      </c>
    </row>
    <row r="6" customFormat="false" ht="15" hidden="false" customHeight="false" outlineLevel="0" collapsed="false">
      <c r="A6" s="8" t="s">
        <v>461</v>
      </c>
      <c r="B6" s="8" t="s">
        <v>462</v>
      </c>
      <c r="C6" s="9" t="n">
        <v>80</v>
      </c>
      <c r="D6" s="10" t="n">
        <v>0.25</v>
      </c>
      <c r="E6" s="16" t="s">
        <v>463</v>
      </c>
      <c r="F6" s="17" t="n">
        <f aca="false">C6*D6</f>
        <v>20</v>
      </c>
    </row>
    <row r="7" customFormat="false" ht="15" hidden="false" customHeight="false" outlineLevel="0" collapsed="false">
      <c r="A7" s="8" t="s">
        <v>464</v>
      </c>
      <c r="B7" s="8" t="s">
        <v>462</v>
      </c>
      <c r="C7" s="9" t="n">
        <v>60</v>
      </c>
      <c r="D7" s="10" t="n">
        <v>0.25</v>
      </c>
      <c r="E7" s="16" t="s">
        <v>465</v>
      </c>
      <c r="F7" s="17" t="n">
        <f aca="false">C7*D7</f>
        <v>15</v>
      </c>
    </row>
    <row r="8" customFormat="false" ht="15" hidden="false" customHeight="false" outlineLevel="0" collapsed="false">
      <c r="A8" s="8" t="s">
        <v>466</v>
      </c>
      <c r="B8" s="8" t="s">
        <v>467</v>
      </c>
      <c r="C8" s="9" t="n">
        <v>80</v>
      </c>
      <c r="D8" s="10" t="n">
        <v>0.2</v>
      </c>
      <c r="E8" s="16" t="s">
        <v>468</v>
      </c>
      <c r="F8" s="17" t="n">
        <f aca="false">C8*D8</f>
        <v>16</v>
      </c>
    </row>
    <row r="9" customFormat="false" ht="15" hidden="false" customHeight="false" outlineLevel="0" collapsed="false">
      <c r="A9" s="8" t="s">
        <v>469</v>
      </c>
      <c r="B9" s="8" t="s">
        <v>467</v>
      </c>
      <c r="C9" s="9" t="n">
        <v>60</v>
      </c>
      <c r="D9" s="10" t="n">
        <v>0.2</v>
      </c>
      <c r="E9" s="16" t="s">
        <v>470</v>
      </c>
      <c r="F9" s="17" t="n">
        <f aca="false">C9*D9</f>
        <v>12</v>
      </c>
    </row>
    <row r="10" customFormat="false" ht="15" hidden="false" customHeight="false" outlineLevel="0" collapsed="false">
      <c r="A10" s="8" t="s">
        <v>471</v>
      </c>
      <c r="B10" s="8" t="s">
        <v>467</v>
      </c>
      <c r="C10" s="9" t="n">
        <v>50</v>
      </c>
      <c r="D10" s="10" t="n">
        <v>0.2</v>
      </c>
      <c r="E10" s="16" t="s">
        <v>472</v>
      </c>
      <c r="F10" s="17" t="n">
        <f aca="false">C10*D10</f>
        <v>10</v>
      </c>
    </row>
    <row r="11" customFormat="false" ht="15" hidden="false" customHeight="false" outlineLevel="0" collapsed="false">
      <c r="A11" s="8" t="s">
        <v>473</v>
      </c>
      <c r="B11" s="8" t="s">
        <v>474</v>
      </c>
      <c r="C11" s="9" t="n">
        <v>60</v>
      </c>
      <c r="D11" s="10" t="n">
        <v>0.3</v>
      </c>
      <c r="E11" s="16" t="s">
        <v>475</v>
      </c>
      <c r="F11" s="17" t="n">
        <f aca="false">C11*D11</f>
        <v>18</v>
      </c>
    </row>
    <row r="12" customFormat="false" ht="15" hidden="false" customHeight="false" outlineLevel="0" collapsed="false">
      <c r="A12" s="8" t="s">
        <v>476</v>
      </c>
      <c r="B12" s="8" t="s">
        <v>474</v>
      </c>
      <c r="C12" s="9" t="n">
        <v>50</v>
      </c>
      <c r="D12" s="10" t="n">
        <v>0.3</v>
      </c>
      <c r="E12" s="16" t="s">
        <v>477</v>
      </c>
      <c r="F12" s="17" t="n">
        <f aca="false">C12*D12</f>
        <v>15</v>
      </c>
    </row>
    <row r="13" customFormat="false" ht="15" hidden="false" customHeight="false" outlineLevel="0" collapsed="false">
      <c r="A13" s="8" t="s">
        <v>478</v>
      </c>
      <c r="B13" s="8" t="s">
        <v>479</v>
      </c>
      <c r="C13" s="9" t="n">
        <v>60</v>
      </c>
      <c r="D13" s="10" t="n">
        <v>0.35</v>
      </c>
      <c r="E13" s="16" t="s">
        <v>480</v>
      </c>
      <c r="F13" s="17" t="n">
        <f aca="false">C13*D13</f>
        <v>21</v>
      </c>
    </row>
    <row r="14" customFormat="false" ht="15" hidden="false" customHeight="false" outlineLevel="0" collapsed="false">
      <c r="A14" s="8" t="s">
        <v>481</v>
      </c>
      <c r="B14" s="8" t="s">
        <v>479</v>
      </c>
      <c r="C14" s="9" t="n">
        <v>50</v>
      </c>
      <c r="D14" s="10" t="n">
        <v>0.35</v>
      </c>
      <c r="E14" s="16" t="s">
        <v>482</v>
      </c>
      <c r="F14" s="17" t="n">
        <f aca="false">C14*D14</f>
        <v>17.5</v>
      </c>
    </row>
    <row r="15" customFormat="false" ht="15" hidden="false" customHeight="false" outlineLevel="0" collapsed="false">
      <c r="A15" s="8" t="s">
        <v>483</v>
      </c>
      <c r="B15" s="8" t="s">
        <v>484</v>
      </c>
      <c r="C15" s="9" t="n">
        <v>40</v>
      </c>
      <c r="D15" s="10" t="n">
        <v>0.6</v>
      </c>
      <c r="E15" s="16" t="s">
        <v>485</v>
      </c>
      <c r="F15" s="17" t="n">
        <f aca="false">C15*D15</f>
        <v>24</v>
      </c>
    </row>
    <row r="16" customFormat="false" ht="15" hidden="false" customHeight="false" outlineLevel="0" collapsed="false">
      <c r="A16" s="8" t="s">
        <v>486</v>
      </c>
      <c r="B16" s="8" t="s">
        <v>484</v>
      </c>
      <c r="C16" s="9" t="n">
        <v>30</v>
      </c>
      <c r="D16" s="10" t="n">
        <v>0.6</v>
      </c>
      <c r="E16" s="16" t="s">
        <v>487</v>
      </c>
      <c r="F16" s="17" t="n">
        <f aca="false">C16*D16</f>
        <v>18</v>
      </c>
    </row>
    <row r="17" customFormat="false" ht="15" hidden="false" customHeight="false" outlineLevel="0" collapsed="false">
      <c r="A17" s="8" t="s">
        <v>488</v>
      </c>
      <c r="B17" s="8" t="s">
        <v>484</v>
      </c>
      <c r="C17" s="9" t="n">
        <v>30</v>
      </c>
      <c r="D17" s="10" t="n">
        <v>0.6</v>
      </c>
      <c r="E17" s="16" t="s">
        <v>489</v>
      </c>
      <c r="F17" s="17" t="n">
        <f aca="false">C17*D17</f>
        <v>18</v>
      </c>
    </row>
    <row r="18" customFormat="false" ht="15" hidden="false" customHeight="false" outlineLevel="0" collapsed="false">
      <c r="A18" s="8" t="s">
        <v>490</v>
      </c>
      <c r="B18" s="8" t="s">
        <v>484</v>
      </c>
      <c r="C18" s="9" t="n">
        <v>40</v>
      </c>
      <c r="D18" s="10" t="n">
        <v>0.55</v>
      </c>
      <c r="E18" s="16" t="s">
        <v>491</v>
      </c>
      <c r="F18" s="17" t="n">
        <f aca="false">C18*D18</f>
        <v>22</v>
      </c>
    </row>
    <row r="19" customFormat="false" ht="15" hidden="false" customHeight="false" outlineLevel="0" collapsed="false">
      <c r="A19" s="8" t="s">
        <v>492</v>
      </c>
      <c r="B19" s="8" t="s">
        <v>484</v>
      </c>
      <c r="C19" s="9" t="n">
        <v>30</v>
      </c>
      <c r="D19" s="10" t="n">
        <v>0.6</v>
      </c>
      <c r="E19" s="16" t="s">
        <v>493</v>
      </c>
      <c r="F19" s="17" t="n">
        <f aca="false">C19*D19</f>
        <v>18</v>
      </c>
    </row>
    <row r="20" customFormat="false" ht="15" hidden="false" customHeight="false" outlineLevel="0" collapsed="false">
      <c r="A20" s="8" t="s">
        <v>494</v>
      </c>
      <c r="B20" s="8" t="s">
        <v>484</v>
      </c>
      <c r="C20" s="9" t="n">
        <v>40</v>
      </c>
      <c r="D20" s="10" t="n">
        <v>0.6</v>
      </c>
      <c r="E20" s="16" t="s">
        <v>495</v>
      </c>
      <c r="F20" s="17" t="n">
        <f aca="false">C20*D20</f>
        <v>24</v>
      </c>
    </row>
    <row r="21" customFormat="false" ht="15" hidden="false" customHeight="false" outlineLevel="0" collapsed="false">
      <c r="A21" s="8" t="s">
        <v>496</v>
      </c>
      <c r="B21" s="8" t="s">
        <v>484</v>
      </c>
      <c r="C21" s="9" t="n">
        <v>30</v>
      </c>
      <c r="D21" s="10" t="n">
        <v>0.6</v>
      </c>
      <c r="E21" s="16" t="s">
        <v>497</v>
      </c>
      <c r="F21" s="17" t="n">
        <f aca="false">C21*D21</f>
        <v>18</v>
      </c>
    </row>
    <row r="22" customFormat="false" ht="15" hidden="false" customHeight="false" outlineLevel="0" collapsed="false">
      <c r="A22" s="8" t="s">
        <v>498</v>
      </c>
      <c r="B22" s="8" t="s">
        <v>484</v>
      </c>
      <c r="C22" s="9" t="n">
        <v>20</v>
      </c>
      <c r="D22" s="10" t="n">
        <v>0.5</v>
      </c>
      <c r="E22" s="16" t="s">
        <v>499</v>
      </c>
      <c r="F22" s="17" t="n">
        <f aca="false">C22*D22</f>
        <v>10</v>
      </c>
    </row>
    <row r="23" customFormat="false" ht="15" hidden="false" customHeight="false" outlineLevel="0" collapsed="false">
      <c r="A23" s="8" t="s">
        <v>500</v>
      </c>
      <c r="B23" s="8" t="s">
        <v>501</v>
      </c>
      <c r="C23" s="9" t="n">
        <v>40</v>
      </c>
      <c r="D23" s="10" t="n">
        <v>0.35</v>
      </c>
      <c r="E23" s="16" t="s">
        <v>502</v>
      </c>
      <c r="F23" s="17" t="n">
        <f aca="false">C23*D23</f>
        <v>14</v>
      </c>
    </row>
    <row r="24" customFormat="false" ht="15" hidden="false" customHeight="false" outlineLevel="0" collapsed="false">
      <c r="A24" s="8" t="s">
        <v>503</v>
      </c>
      <c r="B24" s="8" t="s">
        <v>501</v>
      </c>
      <c r="C24" s="9" t="n">
        <v>30</v>
      </c>
      <c r="D24" s="10" t="n">
        <v>0.35</v>
      </c>
      <c r="E24" s="16" t="s">
        <v>504</v>
      </c>
      <c r="F24" s="17" t="n">
        <f aca="false">C24*D24</f>
        <v>10.5</v>
      </c>
    </row>
    <row r="25" customFormat="false" ht="15" hidden="false" customHeight="false" outlineLevel="0" collapsed="false">
      <c r="A25" s="8" t="s">
        <v>505</v>
      </c>
      <c r="B25" s="8" t="s">
        <v>501</v>
      </c>
      <c r="C25" s="9" t="n">
        <v>20</v>
      </c>
      <c r="D25" s="10" t="n">
        <v>0.55</v>
      </c>
      <c r="E25" s="16" t="s">
        <v>506</v>
      </c>
      <c r="F25" s="17" t="n">
        <f aca="false">C25*D25</f>
        <v>11</v>
      </c>
    </row>
    <row r="26" customFormat="false" ht="15" hidden="false" customHeight="false" outlineLevel="0" collapsed="false">
      <c r="A26" s="8" t="s">
        <v>507</v>
      </c>
      <c r="B26" s="8" t="s">
        <v>508</v>
      </c>
      <c r="C26" s="9" t="n">
        <v>80</v>
      </c>
      <c r="D26" s="10" t="n">
        <v>0.25</v>
      </c>
      <c r="E26" s="16" t="s">
        <v>509</v>
      </c>
      <c r="F26" s="17" t="n">
        <f aca="false">C26*D26</f>
        <v>20</v>
      </c>
    </row>
    <row r="27" customFormat="false" ht="15" hidden="false" customHeight="false" outlineLevel="0" collapsed="false">
      <c r="A27" s="8" t="s">
        <v>510</v>
      </c>
      <c r="B27" s="8" t="s">
        <v>508</v>
      </c>
      <c r="C27" s="9" t="n">
        <v>100</v>
      </c>
      <c r="D27" s="10" t="n">
        <v>0.2</v>
      </c>
      <c r="E27" s="16" t="s">
        <v>511</v>
      </c>
      <c r="F27" s="17" t="n">
        <f aca="false">C27*D27</f>
        <v>20</v>
      </c>
    </row>
    <row r="28" customFormat="false" ht="15" hidden="false" customHeight="false" outlineLevel="0" collapsed="false">
      <c r="A28" s="8" t="s">
        <v>512</v>
      </c>
      <c r="B28" s="8" t="s">
        <v>508</v>
      </c>
      <c r="C28" s="9" t="n">
        <v>50</v>
      </c>
      <c r="D28" s="10" t="n">
        <v>0.2</v>
      </c>
      <c r="E28" s="16" t="s">
        <v>513</v>
      </c>
      <c r="F28" s="17" t="n">
        <f aca="false">C28*D28</f>
        <v>10</v>
      </c>
    </row>
    <row r="29" customFormat="false" ht="15" hidden="false" customHeight="false" outlineLevel="0" collapsed="false">
      <c r="A29" s="8" t="s">
        <v>514</v>
      </c>
      <c r="B29" s="8" t="s">
        <v>515</v>
      </c>
      <c r="C29" s="9" t="n">
        <v>40</v>
      </c>
      <c r="D29" s="10" t="n">
        <v>0.25</v>
      </c>
      <c r="E29" s="16" t="s">
        <v>516</v>
      </c>
      <c r="F29" s="17" t="n">
        <f aca="false">C29*D29</f>
        <v>10</v>
      </c>
    </row>
    <row r="30" customFormat="false" ht="15" hidden="false" customHeight="false" outlineLevel="0" collapsed="false">
      <c r="A30" s="8" t="s">
        <v>517</v>
      </c>
      <c r="B30" s="8" t="s">
        <v>515</v>
      </c>
      <c r="C30" s="9" t="n">
        <v>30</v>
      </c>
      <c r="D30" s="10" t="n">
        <v>0.25</v>
      </c>
      <c r="E30" s="16" t="s">
        <v>518</v>
      </c>
      <c r="F30" s="17" t="n">
        <f aca="false">C30*D30</f>
        <v>7.5</v>
      </c>
    </row>
    <row r="31" customFormat="false" ht="15" hidden="false" customHeight="false" outlineLevel="0" collapsed="false">
      <c r="A31" s="8" t="s">
        <v>519</v>
      </c>
      <c r="B31" s="8" t="s">
        <v>520</v>
      </c>
      <c r="C31" s="9" t="n">
        <v>20</v>
      </c>
      <c r="D31" s="10" t="n">
        <v>0.3</v>
      </c>
      <c r="E31" s="16" t="s">
        <v>521</v>
      </c>
      <c r="F31" s="17" t="n">
        <f aca="false">C31*D31</f>
        <v>6</v>
      </c>
    </row>
    <row r="32" customFormat="false" ht="15" hidden="false" customHeight="false" outlineLevel="0" collapsed="false">
      <c r="A32" s="8" t="s">
        <v>522</v>
      </c>
      <c r="B32" s="8" t="s">
        <v>520</v>
      </c>
      <c r="C32" s="9" t="n">
        <v>20</v>
      </c>
      <c r="D32" s="10" t="n">
        <v>0.35</v>
      </c>
      <c r="E32" s="16" t="s">
        <v>523</v>
      </c>
      <c r="F32" s="17" t="n">
        <f aca="false">C32*D32</f>
        <v>7</v>
      </c>
    </row>
    <row r="33" customFormat="false" ht="15" hidden="false" customHeight="false" outlineLevel="0" collapsed="false">
      <c r="A33" s="8" t="s">
        <v>524</v>
      </c>
      <c r="B33" s="8" t="s">
        <v>525</v>
      </c>
      <c r="C33" s="9" t="n">
        <v>40</v>
      </c>
      <c r="D33" s="10" t="n">
        <v>0.2</v>
      </c>
      <c r="E33" s="16" t="s">
        <v>526</v>
      </c>
      <c r="F33" s="17" t="n">
        <f aca="false">C33*D33</f>
        <v>8</v>
      </c>
    </row>
    <row r="34" customFormat="false" ht="15" hidden="false" customHeight="false" outlineLevel="0" collapsed="false">
      <c r="A34" s="8" t="s">
        <v>527</v>
      </c>
      <c r="B34" s="8" t="s">
        <v>525</v>
      </c>
      <c r="C34" s="9" t="n">
        <v>30</v>
      </c>
      <c r="D34" s="10" t="n">
        <v>0.2</v>
      </c>
      <c r="E34" s="16" t="s">
        <v>528</v>
      </c>
      <c r="F34" s="17" t="n">
        <f aca="false">C34*D34</f>
        <v>6</v>
      </c>
    </row>
    <row r="35" customFormat="false" ht="15" hidden="false" customHeight="false" outlineLevel="0" collapsed="false">
      <c r="A35" s="8" t="s">
        <v>529</v>
      </c>
      <c r="B35" s="8" t="s">
        <v>530</v>
      </c>
      <c r="C35" s="9" t="n">
        <v>60</v>
      </c>
      <c r="D35" s="10" t="n">
        <v>0.25</v>
      </c>
      <c r="E35" s="16" t="s">
        <v>531</v>
      </c>
      <c r="F35" s="17" t="n">
        <f aca="false">C35*D35</f>
        <v>15</v>
      </c>
    </row>
    <row r="36" customFormat="false" ht="15" hidden="false" customHeight="false" outlineLevel="0" collapsed="false">
      <c r="A36" s="8" t="s">
        <v>532</v>
      </c>
      <c r="B36" s="8" t="s">
        <v>530</v>
      </c>
      <c r="C36" s="9" t="n">
        <v>40</v>
      </c>
      <c r="D36" s="10" t="n">
        <v>0.2</v>
      </c>
      <c r="E36" s="16" t="s">
        <v>533</v>
      </c>
      <c r="F36" s="17" t="n">
        <f aca="false">C36*D36</f>
        <v>8</v>
      </c>
    </row>
    <row r="37" customFormat="false" ht="15" hidden="false" customHeight="false" outlineLevel="0" collapsed="false">
      <c r="A37" s="8" t="s">
        <v>534</v>
      </c>
      <c r="B37" s="8" t="s">
        <v>530</v>
      </c>
      <c r="C37" s="9" t="n">
        <v>80</v>
      </c>
      <c r="D37" s="10" t="n">
        <v>0.2</v>
      </c>
      <c r="E37" s="16" t="s">
        <v>535</v>
      </c>
      <c r="F37" s="17" t="n">
        <f aca="false">C37*D37</f>
        <v>16</v>
      </c>
    </row>
    <row r="38" customFormat="false" ht="15" hidden="false" customHeight="false" outlineLevel="0" collapsed="false">
      <c r="A38" s="8" t="s">
        <v>536</v>
      </c>
      <c r="B38" s="8" t="s">
        <v>537</v>
      </c>
      <c r="C38" s="9" t="n">
        <v>40</v>
      </c>
      <c r="D38" s="10" t="n">
        <v>0.3</v>
      </c>
      <c r="E38" s="16" t="s">
        <v>538</v>
      </c>
      <c r="F38" s="17" t="n">
        <f aca="false">C38*D38</f>
        <v>12</v>
      </c>
    </row>
    <row r="39" customFormat="false" ht="15" hidden="false" customHeight="false" outlineLevel="0" collapsed="false">
      <c r="A39" s="8" t="s">
        <v>539</v>
      </c>
      <c r="B39" s="8" t="s">
        <v>537</v>
      </c>
      <c r="C39" s="9" t="n">
        <v>50</v>
      </c>
      <c r="D39" s="10" t="n">
        <v>0.25</v>
      </c>
      <c r="E39" s="16" t="s">
        <v>540</v>
      </c>
      <c r="F39" s="17" t="n">
        <f aca="false">C39*D39</f>
        <v>12.5</v>
      </c>
    </row>
    <row r="40" customFormat="false" ht="15" hidden="false" customHeight="false" outlineLevel="0" collapsed="false">
      <c r="A40" s="8" t="s">
        <v>541</v>
      </c>
      <c r="B40" s="8" t="s">
        <v>537</v>
      </c>
      <c r="C40" s="9" t="n">
        <v>30</v>
      </c>
      <c r="D40" s="10" t="n">
        <v>0.2</v>
      </c>
      <c r="E40" s="16" t="s">
        <v>542</v>
      </c>
      <c r="F40" s="17" t="n">
        <f aca="false">C40*D40</f>
        <v>6</v>
      </c>
    </row>
    <row r="41" customFormat="false" ht="15" hidden="false" customHeight="false" outlineLevel="0" collapsed="false">
      <c r="A41" s="8" t="s">
        <v>543</v>
      </c>
      <c r="B41" s="8" t="s">
        <v>544</v>
      </c>
      <c r="C41" s="9" t="n">
        <v>40</v>
      </c>
      <c r="D41" s="10" t="n">
        <v>0.3</v>
      </c>
      <c r="E41" s="16" t="s">
        <v>545</v>
      </c>
      <c r="F41" s="17" t="n">
        <f aca="false">C41*D41</f>
        <v>12</v>
      </c>
    </row>
    <row r="42" customFormat="false" ht="15" hidden="false" customHeight="false" outlineLevel="0" collapsed="false">
      <c r="A42" s="8" t="s">
        <v>546</v>
      </c>
      <c r="B42" s="8" t="s">
        <v>544</v>
      </c>
      <c r="C42" s="9" t="n">
        <v>20</v>
      </c>
      <c r="D42" s="10" t="n">
        <v>0.3</v>
      </c>
      <c r="E42" s="16" t="s">
        <v>547</v>
      </c>
      <c r="F42" s="17" t="n">
        <f aca="false">C42*D42</f>
        <v>6</v>
      </c>
    </row>
    <row r="43" customFormat="false" ht="15" hidden="false" customHeight="false" outlineLevel="0" collapsed="false">
      <c r="A43" s="8" t="s">
        <v>548</v>
      </c>
      <c r="B43" s="8" t="s">
        <v>549</v>
      </c>
      <c r="C43" s="9" t="n">
        <v>30</v>
      </c>
      <c r="D43" s="10" t="n">
        <v>0.3</v>
      </c>
      <c r="E43" s="16" t="s">
        <v>550</v>
      </c>
      <c r="F43" s="17" t="n">
        <f aca="false">C43*D43</f>
        <v>9</v>
      </c>
    </row>
    <row r="44" customFormat="false" ht="15" hidden="false" customHeight="false" outlineLevel="0" collapsed="false">
      <c r="A44" s="8" t="s">
        <v>551</v>
      </c>
      <c r="B44" s="8" t="s">
        <v>552</v>
      </c>
      <c r="C44" s="9" t="n">
        <v>40</v>
      </c>
      <c r="D44" s="10" t="n">
        <v>0.25</v>
      </c>
      <c r="E44" s="16" t="s">
        <v>553</v>
      </c>
      <c r="F44" s="17" t="n">
        <f aca="false">C44*D44</f>
        <v>10</v>
      </c>
    </row>
    <row r="45" customFormat="false" ht="15" hidden="false" customHeight="false" outlineLevel="0" collapsed="false">
      <c r="A45" s="8" t="s">
        <v>554</v>
      </c>
      <c r="B45" s="8" t="s">
        <v>555</v>
      </c>
      <c r="C45" s="9" t="n">
        <v>40</v>
      </c>
      <c r="D45" s="10" t="n">
        <v>0.25</v>
      </c>
      <c r="E45" s="16" t="s">
        <v>556</v>
      </c>
      <c r="F45" s="17" t="n">
        <f aca="false">C45*D45</f>
        <v>10</v>
      </c>
    </row>
    <row r="46" customFormat="false" ht="15" hidden="false" customHeight="false" outlineLevel="0" collapsed="false">
      <c r="A46" s="8" t="s">
        <v>557</v>
      </c>
      <c r="B46" s="8" t="s">
        <v>555</v>
      </c>
      <c r="C46" s="9" t="n">
        <v>30</v>
      </c>
      <c r="D46" s="10" t="n">
        <v>0.2</v>
      </c>
      <c r="E46" s="16" t="s">
        <v>558</v>
      </c>
      <c r="F46" s="17" t="n">
        <f aca="false">C46*D46</f>
        <v>6</v>
      </c>
    </row>
    <row r="47" customFormat="false" ht="15" hidden="false" customHeight="false" outlineLevel="0" collapsed="false">
      <c r="A47" s="8" t="s">
        <v>559</v>
      </c>
      <c r="B47" s="8" t="s">
        <v>560</v>
      </c>
      <c r="C47" s="9" t="n">
        <v>40</v>
      </c>
      <c r="D47" s="10" t="n">
        <v>0.35</v>
      </c>
      <c r="E47" s="16" t="s">
        <v>561</v>
      </c>
      <c r="F47" s="17" t="n">
        <f aca="false">C47*D47</f>
        <v>14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4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5" t="s">
        <v>562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7" t="s">
        <v>35</v>
      </c>
      <c r="B2" s="7" t="s">
        <v>36</v>
      </c>
      <c r="C2" s="7" t="s">
        <v>13</v>
      </c>
      <c r="D2" s="7" t="s">
        <v>37</v>
      </c>
      <c r="E2" s="7" t="s">
        <v>38</v>
      </c>
      <c r="F2" s="7" t="s">
        <v>39</v>
      </c>
    </row>
    <row r="3" customFormat="false" ht="15" hidden="false" customHeight="false" outlineLevel="0" collapsed="false">
      <c r="A3" s="8" t="s">
        <v>563</v>
      </c>
      <c r="B3" s="8" t="s">
        <v>564</v>
      </c>
      <c r="C3" s="9" t="n">
        <v>150</v>
      </c>
      <c r="D3" s="10" t="n">
        <v>0.35</v>
      </c>
      <c r="E3" s="16" t="s">
        <v>565</v>
      </c>
      <c r="F3" s="17" t="n">
        <f aca="false">C3*D3</f>
        <v>52.5</v>
      </c>
    </row>
    <row r="4" customFormat="false" ht="15" hidden="false" customHeight="false" outlineLevel="0" collapsed="false">
      <c r="A4" s="8" t="s">
        <v>566</v>
      </c>
      <c r="B4" s="8" t="s">
        <v>564</v>
      </c>
      <c r="C4" s="9" t="n">
        <v>100</v>
      </c>
      <c r="D4" s="10" t="n">
        <v>0.35</v>
      </c>
      <c r="E4" s="16" t="s">
        <v>567</v>
      </c>
      <c r="F4" s="17" t="n">
        <f aca="false">C4*D4</f>
        <v>35</v>
      </c>
    </row>
    <row r="5" customFormat="false" ht="15" hidden="false" customHeight="false" outlineLevel="0" collapsed="false">
      <c r="A5" s="8" t="s">
        <v>568</v>
      </c>
      <c r="B5" s="8" t="s">
        <v>564</v>
      </c>
      <c r="C5" s="9" t="n">
        <v>80</v>
      </c>
      <c r="D5" s="10" t="n">
        <v>0.35</v>
      </c>
      <c r="E5" s="16" t="s">
        <v>569</v>
      </c>
      <c r="F5" s="17" t="n">
        <f aca="false">C5*D5</f>
        <v>28</v>
      </c>
    </row>
    <row r="6" customFormat="false" ht="15" hidden="false" customHeight="false" outlineLevel="0" collapsed="false">
      <c r="A6" s="8" t="s">
        <v>570</v>
      </c>
      <c r="B6" s="8" t="s">
        <v>564</v>
      </c>
      <c r="C6" s="9" t="n">
        <v>60</v>
      </c>
      <c r="D6" s="10" t="n">
        <v>0.35</v>
      </c>
      <c r="E6" s="16" t="s">
        <v>571</v>
      </c>
      <c r="F6" s="17" t="n">
        <f aca="false">C6*D6</f>
        <v>21</v>
      </c>
    </row>
    <row r="7" customFormat="false" ht="15" hidden="false" customHeight="false" outlineLevel="0" collapsed="false">
      <c r="A7" s="8" t="s">
        <v>572</v>
      </c>
      <c r="B7" s="8" t="s">
        <v>564</v>
      </c>
      <c r="C7" s="9" t="n">
        <v>40</v>
      </c>
      <c r="D7" s="10" t="n">
        <v>0.3</v>
      </c>
      <c r="E7" s="16" t="s">
        <v>573</v>
      </c>
      <c r="F7" s="17" t="n">
        <f aca="false">C7*D7</f>
        <v>12</v>
      </c>
    </row>
    <row r="8" customFormat="false" ht="15" hidden="false" customHeight="false" outlineLevel="0" collapsed="false">
      <c r="A8" s="8" t="s">
        <v>574</v>
      </c>
      <c r="B8" s="8" t="s">
        <v>564</v>
      </c>
      <c r="C8" s="9" t="n">
        <v>30</v>
      </c>
      <c r="D8" s="10" t="n">
        <v>0.3</v>
      </c>
      <c r="E8" s="16" t="s">
        <v>575</v>
      </c>
      <c r="F8" s="17" t="n">
        <f aca="false">C8*D8</f>
        <v>9</v>
      </c>
    </row>
    <row r="9" customFormat="false" ht="15" hidden="false" customHeight="false" outlineLevel="0" collapsed="false">
      <c r="A9" s="8" t="s">
        <v>576</v>
      </c>
      <c r="B9" s="8" t="s">
        <v>564</v>
      </c>
      <c r="C9" s="9" t="n">
        <v>100</v>
      </c>
      <c r="D9" s="10" t="n">
        <v>0.3</v>
      </c>
      <c r="E9" s="16" t="s">
        <v>577</v>
      </c>
      <c r="F9" s="17" t="n">
        <f aca="false">C9*D9</f>
        <v>30</v>
      </c>
    </row>
    <row r="10" customFormat="false" ht="15" hidden="false" customHeight="false" outlineLevel="0" collapsed="false">
      <c r="A10" s="8" t="s">
        <v>578</v>
      </c>
      <c r="B10" s="8" t="s">
        <v>564</v>
      </c>
      <c r="C10" s="9" t="n">
        <v>40</v>
      </c>
      <c r="D10" s="10" t="n">
        <v>0.4</v>
      </c>
      <c r="E10" s="16" t="s">
        <v>579</v>
      </c>
      <c r="F10" s="17" t="n">
        <f aca="false">C10*D10</f>
        <v>16</v>
      </c>
    </row>
    <row r="11" customFormat="false" ht="15" hidden="false" customHeight="false" outlineLevel="0" collapsed="false">
      <c r="A11" s="8" t="s">
        <v>580</v>
      </c>
      <c r="B11" s="8" t="s">
        <v>564</v>
      </c>
      <c r="C11" s="9" t="n">
        <v>60</v>
      </c>
      <c r="D11" s="10" t="n">
        <v>0.3</v>
      </c>
      <c r="E11" s="16" t="s">
        <v>581</v>
      </c>
      <c r="F11" s="17" t="n">
        <f aca="false">C11*D11</f>
        <v>18</v>
      </c>
    </row>
    <row r="12" customFormat="false" ht="15" hidden="false" customHeight="false" outlineLevel="0" collapsed="false">
      <c r="A12" s="8" t="s">
        <v>582</v>
      </c>
      <c r="B12" s="8" t="s">
        <v>564</v>
      </c>
      <c r="C12" s="9" t="n">
        <v>40</v>
      </c>
      <c r="D12" s="10" t="n">
        <v>0.25</v>
      </c>
      <c r="E12" s="16" t="s">
        <v>583</v>
      </c>
      <c r="F12" s="17" t="n">
        <f aca="false">C12*D12</f>
        <v>10</v>
      </c>
    </row>
    <row r="13" customFormat="false" ht="15" hidden="false" customHeight="false" outlineLevel="0" collapsed="false">
      <c r="A13" s="8" t="s">
        <v>584</v>
      </c>
      <c r="B13" s="8" t="s">
        <v>564</v>
      </c>
      <c r="C13" s="9" t="n">
        <v>30</v>
      </c>
      <c r="D13" s="10" t="n">
        <v>0.25</v>
      </c>
      <c r="E13" s="16" t="s">
        <v>585</v>
      </c>
      <c r="F13" s="17" t="n">
        <f aca="false">C13*D13</f>
        <v>7.5</v>
      </c>
    </row>
    <row r="14" customFormat="false" ht="15" hidden="false" customHeight="false" outlineLevel="0" collapsed="false">
      <c r="A14" s="8" t="s">
        <v>586</v>
      </c>
      <c r="B14" s="8" t="s">
        <v>564</v>
      </c>
      <c r="C14" s="9" t="n">
        <v>60</v>
      </c>
      <c r="D14" s="10" t="n">
        <v>0.3</v>
      </c>
      <c r="E14" s="16" t="s">
        <v>587</v>
      </c>
      <c r="F14" s="17" t="n">
        <f aca="false">C14*D14</f>
        <v>18</v>
      </c>
    </row>
    <row r="15" customFormat="false" ht="15" hidden="false" customHeight="false" outlineLevel="0" collapsed="false">
      <c r="A15" s="8" t="s">
        <v>588</v>
      </c>
      <c r="B15" s="8" t="s">
        <v>564</v>
      </c>
      <c r="C15" s="9" t="n">
        <v>30</v>
      </c>
      <c r="D15" s="10" t="n">
        <v>0.3</v>
      </c>
      <c r="E15" s="16" t="s">
        <v>589</v>
      </c>
      <c r="F15" s="17" t="n">
        <f aca="false">C15*D15</f>
        <v>9</v>
      </c>
    </row>
    <row r="16" customFormat="false" ht="15" hidden="false" customHeight="false" outlineLevel="0" collapsed="false">
      <c r="A16" s="8" t="s">
        <v>590</v>
      </c>
      <c r="B16" s="8" t="s">
        <v>591</v>
      </c>
      <c r="C16" s="9" t="n">
        <v>200</v>
      </c>
      <c r="D16" s="10" t="n">
        <v>0.35</v>
      </c>
      <c r="E16" s="16" t="s">
        <v>592</v>
      </c>
      <c r="F16" s="17" t="n">
        <f aca="false">C16*D16</f>
        <v>70</v>
      </c>
    </row>
    <row r="17" customFormat="false" ht="15" hidden="false" customHeight="false" outlineLevel="0" collapsed="false">
      <c r="A17" s="8" t="s">
        <v>593</v>
      </c>
      <c r="B17" s="8" t="s">
        <v>591</v>
      </c>
      <c r="C17" s="9" t="n">
        <v>150</v>
      </c>
      <c r="D17" s="10" t="n">
        <v>0.35</v>
      </c>
      <c r="E17" s="16" t="s">
        <v>594</v>
      </c>
      <c r="F17" s="17" t="n">
        <f aca="false">C17*D17</f>
        <v>52.5</v>
      </c>
    </row>
    <row r="18" customFormat="false" ht="15" hidden="false" customHeight="false" outlineLevel="0" collapsed="false">
      <c r="A18" s="8" t="s">
        <v>595</v>
      </c>
      <c r="B18" s="8" t="s">
        <v>591</v>
      </c>
      <c r="C18" s="9" t="n">
        <v>80</v>
      </c>
      <c r="D18" s="10" t="n">
        <v>0.3</v>
      </c>
      <c r="E18" s="16" t="s">
        <v>596</v>
      </c>
      <c r="F18" s="17" t="n">
        <f aca="false">C18*D18</f>
        <v>24</v>
      </c>
    </row>
    <row r="19" customFormat="false" ht="15" hidden="false" customHeight="false" outlineLevel="0" collapsed="false">
      <c r="A19" s="8" t="s">
        <v>597</v>
      </c>
      <c r="B19" s="8" t="s">
        <v>591</v>
      </c>
      <c r="C19" s="9" t="n">
        <v>100</v>
      </c>
      <c r="D19" s="10" t="n">
        <v>0.25</v>
      </c>
      <c r="E19" s="16" t="s">
        <v>598</v>
      </c>
      <c r="F19" s="17" t="n">
        <f aca="false">C19*D19</f>
        <v>25</v>
      </c>
    </row>
    <row r="20" customFormat="false" ht="15" hidden="false" customHeight="false" outlineLevel="0" collapsed="false">
      <c r="A20" s="8" t="s">
        <v>599</v>
      </c>
      <c r="B20" s="8" t="s">
        <v>591</v>
      </c>
      <c r="C20" s="9" t="n">
        <v>60</v>
      </c>
      <c r="D20" s="10" t="n">
        <v>0.3</v>
      </c>
      <c r="E20" s="16" t="s">
        <v>600</v>
      </c>
      <c r="F20" s="17" t="n">
        <f aca="false">C20*D20</f>
        <v>18</v>
      </c>
    </row>
    <row r="21" customFormat="false" ht="15" hidden="false" customHeight="false" outlineLevel="0" collapsed="false">
      <c r="A21" s="8" t="s">
        <v>601</v>
      </c>
      <c r="B21" s="8" t="s">
        <v>591</v>
      </c>
      <c r="C21" s="9" t="n">
        <v>40</v>
      </c>
      <c r="D21" s="10" t="n">
        <v>0.3</v>
      </c>
      <c r="E21" s="16" t="s">
        <v>602</v>
      </c>
      <c r="F21" s="17" t="n">
        <f aca="false">C21*D21</f>
        <v>12</v>
      </c>
    </row>
    <row r="22" customFormat="false" ht="15" hidden="false" customHeight="false" outlineLevel="0" collapsed="false">
      <c r="A22" s="8" t="s">
        <v>603</v>
      </c>
      <c r="B22" s="8" t="s">
        <v>591</v>
      </c>
      <c r="C22" s="9" t="n">
        <v>40</v>
      </c>
      <c r="D22" s="10" t="n">
        <v>0.3</v>
      </c>
      <c r="E22" s="16" t="s">
        <v>604</v>
      </c>
      <c r="F22" s="17" t="n">
        <f aca="false">C22*D22</f>
        <v>12</v>
      </c>
    </row>
    <row r="23" customFormat="false" ht="15" hidden="false" customHeight="false" outlineLevel="0" collapsed="false">
      <c r="A23" s="8" t="s">
        <v>605</v>
      </c>
      <c r="B23" s="8" t="s">
        <v>591</v>
      </c>
      <c r="C23" s="9" t="n">
        <v>30</v>
      </c>
      <c r="D23" s="10" t="n">
        <v>0.3</v>
      </c>
      <c r="E23" s="16" t="s">
        <v>606</v>
      </c>
      <c r="F23" s="17" t="n">
        <f aca="false">C23*D23</f>
        <v>9</v>
      </c>
    </row>
    <row r="24" customFormat="false" ht="15" hidden="false" customHeight="false" outlineLevel="0" collapsed="false">
      <c r="A24" s="8" t="s">
        <v>607</v>
      </c>
      <c r="B24" s="8" t="s">
        <v>591</v>
      </c>
      <c r="C24" s="9" t="n">
        <v>40</v>
      </c>
      <c r="D24" s="10" t="n">
        <v>0.3</v>
      </c>
      <c r="E24" s="16" t="s">
        <v>608</v>
      </c>
      <c r="F24" s="17" t="n">
        <f aca="false">C24*D24</f>
        <v>12</v>
      </c>
    </row>
    <row r="25" customFormat="false" ht="15" hidden="false" customHeight="false" outlineLevel="0" collapsed="false">
      <c r="A25" s="8" t="s">
        <v>609</v>
      </c>
      <c r="B25" s="8" t="s">
        <v>591</v>
      </c>
      <c r="C25" s="9" t="n">
        <v>80</v>
      </c>
      <c r="D25" s="10" t="n">
        <v>0.3</v>
      </c>
      <c r="E25" s="16" t="s">
        <v>610</v>
      </c>
      <c r="F25" s="17" t="n">
        <f aca="false">C25*D25</f>
        <v>24</v>
      </c>
    </row>
    <row r="26" customFormat="false" ht="15" hidden="false" customHeight="false" outlineLevel="0" collapsed="false">
      <c r="A26" s="8" t="s">
        <v>611</v>
      </c>
      <c r="B26" s="8" t="s">
        <v>612</v>
      </c>
      <c r="C26" s="9" t="n">
        <v>100</v>
      </c>
      <c r="D26" s="10" t="n">
        <v>0.3</v>
      </c>
      <c r="E26" s="16" t="s">
        <v>613</v>
      </c>
      <c r="F26" s="17" t="n">
        <f aca="false">C26*D26</f>
        <v>30</v>
      </c>
    </row>
    <row r="27" customFormat="false" ht="15" hidden="false" customHeight="false" outlineLevel="0" collapsed="false">
      <c r="A27" s="8" t="s">
        <v>614</v>
      </c>
      <c r="B27" s="8" t="s">
        <v>612</v>
      </c>
      <c r="C27" s="9" t="n">
        <v>60</v>
      </c>
      <c r="D27" s="10" t="n">
        <v>0.35</v>
      </c>
      <c r="E27" s="16" t="s">
        <v>615</v>
      </c>
      <c r="F27" s="17" t="n">
        <f aca="false">C27*D27</f>
        <v>21</v>
      </c>
    </row>
    <row r="28" customFormat="false" ht="15" hidden="false" customHeight="false" outlineLevel="0" collapsed="false">
      <c r="A28" s="8" t="s">
        <v>616</v>
      </c>
      <c r="B28" s="8" t="s">
        <v>617</v>
      </c>
      <c r="C28" s="9" t="n">
        <v>100</v>
      </c>
      <c r="D28" s="10" t="n">
        <v>0.3</v>
      </c>
      <c r="E28" s="16" t="s">
        <v>618</v>
      </c>
      <c r="F28" s="17" t="n">
        <f aca="false">C28*D28</f>
        <v>30</v>
      </c>
    </row>
    <row r="29" customFormat="false" ht="15" hidden="false" customHeight="false" outlineLevel="0" collapsed="false">
      <c r="A29" s="8" t="s">
        <v>619</v>
      </c>
      <c r="B29" s="8" t="s">
        <v>617</v>
      </c>
      <c r="C29" s="9" t="n">
        <v>60</v>
      </c>
      <c r="D29" s="10" t="n">
        <v>0.25</v>
      </c>
      <c r="E29" s="16" t="s">
        <v>620</v>
      </c>
      <c r="F29" s="17" t="n">
        <f aca="false">C29*D29</f>
        <v>15</v>
      </c>
    </row>
    <row r="30" customFormat="false" ht="15" hidden="false" customHeight="false" outlineLevel="0" collapsed="false">
      <c r="A30" s="8" t="s">
        <v>621</v>
      </c>
      <c r="B30" s="8" t="s">
        <v>622</v>
      </c>
      <c r="C30" s="9" t="n">
        <v>40</v>
      </c>
      <c r="D30" s="10" t="n">
        <v>0.25</v>
      </c>
      <c r="E30" s="16" t="s">
        <v>623</v>
      </c>
      <c r="F30" s="17" t="n">
        <f aca="false">C30*D30</f>
        <v>10</v>
      </c>
    </row>
    <row r="31" customFormat="false" ht="15" hidden="false" customHeight="false" outlineLevel="0" collapsed="false">
      <c r="A31" s="8" t="s">
        <v>624</v>
      </c>
      <c r="B31" s="8" t="s">
        <v>625</v>
      </c>
      <c r="C31" s="9" t="n">
        <v>20</v>
      </c>
      <c r="D31" s="10" t="n">
        <v>0.3</v>
      </c>
      <c r="E31" s="16" t="s">
        <v>626</v>
      </c>
      <c r="F31" s="17" t="n">
        <f aca="false">C31*D31</f>
        <v>6</v>
      </c>
    </row>
    <row r="32" customFormat="false" ht="15" hidden="false" customHeight="false" outlineLevel="0" collapsed="false">
      <c r="A32" s="8" t="s">
        <v>627</v>
      </c>
      <c r="B32" s="8" t="s">
        <v>628</v>
      </c>
      <c r="C32" s="9" t="n">
        <v>50</v>
      </c>
      <c r="D32" s="10" t="n">
        <v>0.2</v>
      </c>
      <c r="E32" s="16" t="s">
        <v>629</v>
      </c>
      <c r="F32" s="17" t="n">
        <f aca="false">C32*D32</f>
        <v>10</v>
      </c>
    </row>
    <row r="33" customFormat="false" ht="15" hidden="false" customHeight="false" outlineLevel="0" collapsed="false">
      <c r="A33" s="8" t="s">
        <v>630</v>
      </c>
      <c r="B33" s="8" t="s">
        <v>164</v>
      </c>
      <c r="C33" s="9" t="n">
        <v>40</v>
      </c>
      <c r="D33" s="10" t="n">
        <v>0.3</v>
      </c>
      <c r="E33" s="16" t="s">
        <v>631</v>
      </c>
      <c r="F33" s="17" t="n">
        <f aca="false">C33*D33</f>
        <v>12</v>
      </c>
    </row>
    <row r="34" customFormat="false" ht="15" hidden="false" customHeight="false" outlineLevel="0" collapsed="false">
      <c r="A34" s="8" t="s">
        <v>632</v>
      </c>
      <c r="B34" s="8" t="s">
        <v>88</v>
      </c>
      <c r="C34" s="9" t="n">
        <v>30</v>
      </c>
      <c r="D34" s="10" t="n">
        <v>0.25</v>
      </c>
      <c r="E34" s="16" t="s">
        <v>633</v>
      </c>
      <c r="F34" s="17" t="n">
        <f aca="false">C34*D34</f>
        <v>7.5</v>
      </c>
    </row>
    <row r="35" customFormat="false" ht="15" hidden="false" customHeight="false" outlineLevel="0" collapsed="false">
      <c r="A35" s="8" t="s">
        <v>634</v>
      </c>
      <c r="B35" s="8" t="s">
        <v>164</v>
      </c>
      <c r="C35" s="9" t="n">
        <v>30</v>
      </c>
      <c r="D35" s="10" t="n">
        <v>0.3</v>
      </c>
      <c r="E35" s="16" t="s">
        <v>635</v>
      </c>
      <c r="F35" s="17" t="n">
        <f aca="false">C35*D35</f>
        <v>9</v>
      </c>
    </row>
    <row r="36" customFormat="false" ht="15" hidden="false" customHeight="false" outlineLevel="0" collapsed="false">
      <c r="A36" s="8" t="s">
        <v>636</v>
      </c>
      <c r="B36" s="8" t="s">
        <v>637</v>
      </c>
      <c r="C36" s="9" t="n">
        <v>40</v>
      </c>
      <c r="D36" s="10" t="n">
        <v>0.2</v>
      </c>
      <c r="E36" s="16" t="s">
        <v>638</v>
      </c>
      <c r="F36" s="17" t="n">
        <f aca="false">C36*D36</f>
        <v>8</v>
      </c>
    </row>
    <row r="37" customFormat="false" ht="15" hidden="false" customHeight="false" outlineLevel="0" collapsed="false">
      <c r="A37" s="8" t="s">
        <v>639</v>
      </c>
      <c r="B37" s="8" t="s">
        <v>637</v>
      </c>
      <c r="C37" s="9" t="n">
        <v>40</v>
      </c>
      <c r="D37" s="10" t="n">
        <v>0.25</v>
      </c>
      <c r="E37" s="16" t="s">
        <v>640</v>
      </c>
      <c r="F37" s="17" t="n">
        <f aca="false">C37*D37</f>
        <v>10</v>
      </c>
    </row>
    <row r="38" customFormat="false" ht="15" hidden="false" customHeight="false" outlineLevel="0" collapsed="false">
      <c r="A38" s="8" t="s">
        <v>641</v>
      </c>
      <c r="B38" s="8" t="s">
        <v>625</v>
      </c>
      <c r="C38" s="9" t="n">
        <v>30</v>
      </c>
      <c r="D38" s="10" t="n">
        <v>0.3</v>
      </c>
      <c r="E38" s="16" t="s">
        <v>642</v>
      </c>
      <c r="F38" s="17" t="n">
        <f aca="false">C38*D38</f>
        <v>9</v>
      </c>
    </row>
    <row r="39" customFormat="false" ht="15" hidden="false" customHeight="false" outlineLevel="0" collapsed="false">
      <c r="A39" s="8" t="s">
        <v>643</v>
      </c>
      <c r="B39" s="8" t="s">
        <v>644</v>
      </c>
      <c r="C39" s="9" t="n">
        <v>40</v>
      </c>
      <c r="D39" s="10" t="n">
        <v>0.2</v>
      </c>
      <c r="E39" s="16" t="s">
        <v>645</v>
      </c>
      <c r="F39" s="17" t="n">
        <f aca="false">C39*D39</f>
        <v>8</v>
      </c>
    </row>
    <row r="40" customFormat="false" ht="15" hidden="false" customHeight="false" outlineLevel="0" collapsed="false">
      <c r="A40" s="8" t="s">
        <v>646</v>
      </c>
      <c r="B40" s="8" t="s">
        <v>644</v>
      </c>
      <c r="C40" s="9" t="n">
        <v>20</v>
      </c>
      <c r="D40" s="10" t="n">
        <v>0.15</v>
      </c>
      <c r="E40" s="16" t="s">
        <v>647</v>
      </c>
      <c r="F40" s="17" t="n">
        <f aca="false">C40*D40</f>
        <v>3</v>
      </c>
    </row>
    <row r="41" customFormat="false" ht="15" hidden="false" customHeight="false" outlineLevel="0" collapsed="false">
      <c r="A41" s="8" t="s">
        <v>648</v>
      </c>
      <c r="B41" s="8" t="s">
        <v>649</v>
      </c>
      <c r="C41" s="9" t="n">
        <v>60</v>
      </c>
      <c r="D41" s="10" t="n">
        <v>0.1</v>
      </c>
      <c r="E41" s="16" t="s">
        <v>650</v>
      </c>
      <c r="F41" s="17" t="n">
        <f aca="false">C41*D41</f>
        <v>6</v>
      </c>
    </row>
    <row r="42" customFormat="false" ht="15" hidden="false" customHeight="false" outlineLevel="0" collapsed="false">
      <c r="A42" s="8" t="s">
        <v>651</v>
      </c>
      <c r="B42" s="8" t="s">
        <v>159</v>
      </c>
      <c r="C42" s="9" t="n">
        <v>30</v>
      </c>
      <c r="D42" s="10" t="n">
        <v>0.35</v>
      </c>
      <c r="E42" s="16" t="s">
        <v>652</v>
      </c>
      <c r="F42" s="17" t="n">
        <f aca="false">C42*D42</f>
        <v>10.5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4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5" t="s">
        <v>653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7" t="s">
        <v>35</v>
      </c>
      <c r="B2" s="7" t="s">
        <v>36</v>
      </c>
      <c r="C2" s="7" t="s">
        <v>13</v>
      </c>
      <c r="D2" s="7" t="s">
        <v>37</v>
      </c>
      <c r="E2" s="7" t="s">
        <v>38</v>
      </c>
      <c r="F2" s="7" t="s">
        <v>39</v>
      </c>
    </row>
    <row r="3" customFormat="false" ht="15" hidden="false" customHeight="false" outlineLevel="0" collapsed="false">
      <c r="A3" s="8" t="s">
        <v>654</v>
      </c>
      <c r="B3" s="8" t="s">
        <v>655</v>
      </c>
      <c r="C3" s="9" t="n">
        <v>60</v>
      </c>
      <c r="D3" s="10" t="n">
        <v>0.35</v>
      </c>
      <c r="E3" s="16" t="s">
        <v>656</v>
      </c>
      <c r="F3" s="17" t="n">
        <f aca="false">C3*D3</f>
        <v>21</v>
      </c>
    </row>
    <row r="4" customFormat="false" ht="15" hidden="false" customHeight="false" outlineLevel="0" collapsed="false">
      <c r="A4" s="8" t="s">
        <v>657</v>
      </c>
      <c r="B4" s="8" t="s">
        <v>655</v>
      </c>
      <c r="C4" s="9" t="n">
        <v>80</v>
      </c>
      <c r="D4" s="10" t="n">
        <v>0.45</v>
      </c>
      <c r="E4" s="16" t="s">
        <v>658</v>
      </c>
      <c r="F4" s="17" t="n">
        <f aca="false">C4*D4</f>
        <v>36</v>
      </c>
    </row>
    <row r="5" customFormat="false" ht="15" hidden="false" customHeight="false" outlineLevel="0" collapsed="false">
      <c r="A5" s="8" t="s">
        <v>659</v>
      </c>
      <c r="B5" s="8" t="s">
        <v>655</v>
      </c>
      <c r="C5" s="9" t="n">
        <v>100</v>
      </c>
      <c r="D5" s="10" t="n">
        <v>0.3</v>
      </c>
      <c r="E5" s="16" t="s">
        <v>660</v>
      </c>
      <c r="F5" s="17" t="n">
        <f aca="false">C5*D5</f>
        <v>30</v>
      </c>
    </row>
    <row r="6" customFormat="false" ht="15" hidden="false" customHeight="false" outlineLevel="0" collapsed="false">
      <c r="A6" s="8" t="s">
        <v>661</v>
      </c>
      <c r="B6" s="8" t="s">
        <v>655</v>
      </c>
      <c r="C6" s="9" t="n">
        <v>60</v>
      </c>
      <c r="D6" s="10" t="n">
        <v>0.25</v>
      </c>
      <c r="E6" s="16" t="s">
        <v>662</v>
      </c>
      <c r="F6" s="17" t="n">
        <f aca="false">C6*D6</f>
        <v>15</v>
      </c>
    </row>
    <row r="7" customFormat="false" ht="15" hidden="false" customHeight="false" outlineLevel="0" collapsed="false">
      <c r="A7" s="8" t="s">
        <v>663</v>
      </c>
      <c r="B7" s="8" t="s">
        <v>655</v>
      </c>
      <c r="C7" s="9" t="n">
        <v>80</v>
      </c>
      <c r="D7" s="10" t="n">
        <v>0.25</v>
      </c>
      <c r="E7" s="16" t="s">
        <v>664</v>
      </c>
      <c r="F7" s="17" t="n">
        <f aca="false">C7*D7</f>
        <v>20</v>
      </c>
    </row>
    <row r="8" customFormat="false" ht="15" hidden="false" customHeight="false" outlineLevel="0" collapsed="false">
      <c r="A8" s="8" t="s">
        <v>665</v>
      </c>
      <c r="B8" s="8" t="s">
        <v>655</v>
      </c>
      <c r="C8" s="9" t="n">
        <v>60</v>
      </c>
      <c r="D8" s="10" t="n">
        <v>0.4</v>
      </c>
      <c r="E8" s="16" t="s">
        <v>666</v>
      </c>
      <c r="F8" s="17" t="n">
        <f aca="false">C8*D8</f>
        <v>24</v>
      </c>
    </row>
    <row r="9" customFormat="false" ht="15" hidden="false" customHeight="false" outlineLevel="0" collapsed="false">
      <c r="A9" s="8" t="s">
        <v>667</v>
      </c>
      <c r="B9" s="8" t="s">
        <v>655</v>
      </c>
      <c r="C9" s="9" t="n">
        <v>50</v>
      </c>
      <c r="D9" s="10" t="n">
        <v>0.4</v>
      </c>
      <c r="E9" s="16" t="s">
        <v>668</v>
      </c>
      <c r="F9" s="17" t="n">
        <f aca="false">C9*D9</f>
        <v>20</v>
      </c>
    </row>
    <row r="10" customFormat="false" ht="15" hidden="false" customHeight="false" outlineLevel="0" collapsed="false">
      <c r="A10" s="8" t="s">
        <v>669</v>
      </c>
      <c r="B10" s="8" t="s">
        <v>655</v>
      </c>
      <c r="C10" s="9" t="n">
        <v>40</v>
      </c>
      <c r="D10" s="10" t="n">
        <v>0.4</v>
      </c>
      <c r="E10" s="16" t="s">
        <v>670</v>
      </c>
      <c r="F10" s="17" t="n">
        <f aca="false">C10*D10</f>
        <v>16</v>
      </c>
    </row>
    <row r="11" customFormat="false" ht="15" hidden="false" customHeight="false" outlineLevel="0" collapsed="false">
      <c r="A11" s="8" t="s">
        <v>671</v>
      </c>
      <c r="B11" s="8" t="s">
        <v>655</v>
      </c>
      <c r="C11" s="9" t="n">
        <v>60</v>
      </c>
      <c r="D11" s="10" t="n">
        <v>0.3</v>
      </c>
      <c r="E11" s="16" t="s">
        <v>672</v>
      </c>
      <c r="F11" s="17" t="n">
        <f aca="false">C11*D11</f>
        <v>18</v>
      </c>
    </row>
    <row r="12" customFormat="false" ht="15" hidden="false" customHeight="false" outlineLevel="0" collapsed="false">
      <c r="A12" s="8" t="s">
        <v>673</v>
      </c>
      <c r="B12" s="8" t="s">
        <v>655</v>
      </c>
      <c r="C12" s="9" t="n">
        <v>80</v>
      </c>
      <c r="D12" s="10" t="n">
        <v>0.25</v>
      </c>
      <c r="E12" s="16" t="s">
        <v>674</v>
      </c>
      <c r="F12" s="17" t="n">
        <f aca="false">C12*D12</f>
        <v>20</v>
      </c>
    </row>
    <row r="13" customFormat="false" ht="15" hidden="false" customHeight="false" outlineLevel="0" collapsed="false">
      <c r="A13" s="8" t="s">
        <v>675</v>
      </c>
      <c r="B13" s="8" t="s">
        <v>655</v>
      </c>
      <c r="C13" s="9" t="n">
        <v>60</v>
      </c>
      <c r="D13" s="10" t="n">
        <v>0.3</v>
      </c>
      <c r="E13" s="16" t="s">
        <v>676</v>
      </c>
      <c r="F13" s="17" t="n">
        <f aca="false">C13*D13</f>
        <v>18</v>
      </c>
    </row>
    <row r="14" customFormat="false" ht="15" hidden="false" customHeight="false" outlineLevel="0" collapsed="false">
      <c r="A14" s="8" t="s">
        <v>677</v>
      </c>
      <c r="B14" s="8" t="s">
        <v>655</v>
      </c>
      <c r="C14" s="9" t="n">
        <v>40</v>
      </c>
      <c r="D14" s="10" t="n">
        <v>0.3</v>
      </c>
      <c r="E14" s="16" t="s">
        <v>678</v>
      </c>
      <c r="F14" s="17" t="n">
        <f aca="false">C14*D14</f>
        <v>12</v>
      </c>
    </row>
    <row r="15" customFormat="false" ht="15" hidden="false" customHeight="false" outlineLevel="0" collapsed="false">
      <c r="A15" s="8" t="s">
        <v>194</v>
      </c>
      <c r="B15" s="8" t="s">
        <v>679</v>
      </c>
      <c r="C15" s="9" t="n">
        <v>40</v>
      </c>
      <c r="D15" s="10" t="n">
        <v>0.65</v>
      </c>
      <c r="E15" s="16" t="s">
        <v>680</v>
      </c>
      <c r="F15" s="17" t="n">
        <f aca="false">C15*D15</f>
        <v>26</v>
      </c>
    </row>
    <row r="16" customFormat="false" ht="15" hidden="false" customHeight="false" outlineLevel="0" collapsed="false">
      <c r="A16" s="8" t="s">
        <v>681</v>
      </c>
      <c r="B16" s="8" t="s">
        <v>679</v>
      </c>
      <c r="C16" s="9" t="n">
        <v>20</v>
      </c>
      <c r="D16" s="10" t="n">
        <v>0.65</v>
      </c>
      <c r="E16" s="16" t="s">
        <v>682</v>
      </c>
      <c r="F16" s="17" t="n">
        <f aca="false">C16*D16</f>
        <v>13</v>
      </c>
    </row>
    <row r="17" customFormat="false" ht="15" hidden="false" customHeight="false" outlineLevel="0" collapsed="false">
      <c r="A17" s="8" t="s">
        <v>683</v>
      </c>
      <c r="B17" s="8" t="s">
        <v>679</v>
      </c>
      <c r="C17" s="9" t="n">
        <v>20</v>
      </c>
      <c r="D17" s="10" t="n">
        <v>0.65</v>
      </c>
      <c r="E17" s="16" t="s">
        <v>684</v>
      </c>
      <c r="F17" s="17" t="n">
        <f aca="false">C17*D17</f>
        <v>13</v>
      </c>
    </row>
    <row r="18" customFormat="false" ht="15" hidden="false" customHeight="false" outlineLevel="0" collapsed="false">
      <c r="A18" s="8" t="s">
        <v>685</v>
      </c>
      <c r="B18" s="8" t="s">
        <v>679</v>
      </c>
      <c r="C18" s="9" t="n">
        <v>20</v>
      </c>
      <c r="D18" s="10" t="n">
        <v>0.65</v>
      </c>
      <c r="E18" s="16" t="s">
        <v>686</v>
      </c>
      <c r="F18" s="17" t="n">
        <f aca="false">C18*D18</f>
        <v>13</v>
      </c>
    </row>
    <row r="19" customFormat="false" ht="15" hidden="false" customHeight="false" outlineLevel="0" collapsed="false">
      <c r="A19" s="8" t="s">
        <v>687</v>
      </c>
      <c r="B19" s="8" t="s">
        <v>679</v>
      </c>
      <c r="C19" s="9" t="n">
        <v>15</v>
      </c>
      <c r="D19" s="10" t="n">
        <v>0.65</v>
      </c>
      <c r="E19" s="16" t="s">
        <v>688</v>
      </c>
      <c r="F19" s="17" t="n">
        <f aca="false">C19*D19</f>
        <v>9.75</v>
      </c>
    </row>
    <row r="20" customFormat="false" ht="15" hidden="false" customHeight="false" outlineLevel="0" collapsed="false">
      <c r="A20" s="8" t="s">
        <v>689</v>
      </c>
      <c r="B20" s="8" t="s">
        <v>679</v>
      </c>
      <c r="C20" s="9" t="n">
        <v>15</v>
      </c>
      <c r="D20" s="10" t="n">
        <v>0.6</v>
      </c>
      <c r="E20" s="16" t="s">
        <v>690</v>
      </c>
      <c r="F20" s="17" t="n">
        <f aca="false">C20*D20</f>
        <v>9</v>
      </c>
    </row>
    <row r="21" customFormat="false" ht="15" hidden="false" customHeight="false" outlineLevel="0" collapsed="false">
      <c r="A21" s="8" t="s">
        <v>691</v>
      </c>
      <c r="B21" s="8" t="s">
        <v>679</v>
      </c>
      <c r="C21" s="9" t="n">
        <v>15</v>
      </c>
      <c r="D21" s="10" t="n">
        <v>0.6</v>
      </c>
      <c r="E21" s="16" t="s">
        <v>692</v>
      </c>
      <c r="F21" s="17" t="n">
        <f aca="false">C21*D21</f>
        <v>9</v>
      </c>
    </row>
    <row r="22" customFormat="false" ht="15" hidden="false" customHeight="false" outlineLevel="0" collapsed="false">
      <c r="A22" s="8" t="s">
        <v>693</v>
      </c>
      <c r="B22" s="8" t="s">
        <v>679</v>
      </c>
      <c r="C22" s="9" t="n">
        <v>30</v>
      </c>
      <c r="D22" s="10" t="n">
        <v>0.55</v>
      </c>
      <c r="E22" s="16" t="s">
        <v>694</v>
      </c>
      <c r="F22" s="17" t="n">
        <f aca="false">C22*D22</f>
        <v>16.5</v>
      </c>
    </row>
    <row r="23" customFormat="false" ht="15" hidden="false" customHeight="false" outlineLevel="0" collapsed="false">
      <c r="A23" s="8" t="s">
        <v>695</v>
      </c>
      <c r="B23" s="8" t="s">
        <v>679</v>
      </c>
      <c r="C23" s="9" t="n">
        <v>40</v>
      </c>
      <c r="D23" s="10" t="n">
        <v>0.45</v>
      </c>
      <c r="E23" s="16" t="s">
        <v>696</v>
      </c>
      <c r="F23" s="17" t="n">
        <f aca="false">C23*D23</f>
        <v>18</v>
      </c>
    </row>
    <row r="24" customFormat="false" ht="15" hidden="false" customHeight="false" outlineLevel="0" collapsed="false">
      <c r="A24" s="8" t="s">
        <v>697</v>
      </c>
      <c r="B24" s="8" t="s">
        <v>679</v>
      </c>
      <c r="C24" s="9" t="n">
        <v>30</v>
      </c>
      <c r="D24" s="10" t="n">
        <v>0.4</v>
      </c>
      <c r="E24" s="16" t="s">
        <v>698</v>
      </c>
      <c r="F24" s="17" t="n">
        <f aca="false">C24*D24</f>
        <v>12</v>
      </c>
    </row>
    <row r="25" customFormat="false" ht="15" hidden="false" customHeight="false" outlineLevel="0" collapsed="false">
      <c r="A25" s="8" t="s">
        <v>699</v>
      </c>
      <c r="B25" s="8" t="s">
        <v>679</v>
      </c>
      <c r="C25" s="9" t="n">
        <v>40</v>
      </c>
      <c r="D25" s="10" t="n">
        <v>0.5</v>
      </c>
      <c r="E25" s="16" t="s">
        <v>700</v>
      </c>
      <c r="F25" s="17" t="n">
        <f aca="false">C25*D25</f>
        <v>20</v>
      </c>
    </row>
    <row r="26" customFormat="false" ht="15" hidden="false" customHeight="false" outlineLevel="0" collapsed="false">
      <c r="A26" s="8" t="s">
        <v>701</v>
      </c>
      <c r="B26" s="8" t="s">
        <v>679</v>
      </c>
      <c r="C26" s="9" t="n">
        <v>30</v>
      </c>
      <c r="D26" s="10" t="n">
        <v>0.4</v>
      </c>
      <c r="E26" s="16" t="s">
        <v>702</v>
      </c>
      <c r="F26" s="17" t="n">
        <f aca="false">C26*D26</f>
        <v>12</v>
      </c>
    </row>
    <row r="27" customFormat="false" ht="15" hidden="false" customHeight="false" outlineLevel="0" collapsed="false">
      <c r="A27" s="8" t="s">
        <v>703</v>
      </c>
      <c r="B27" s="8" t="s">
        <v>679</v>
      </c>
      <c r="C27" s="9" t="n">
        <v>30</v>
      </c>
      <c r="D27" s="10" t="n">
        <v>0.5</v>
      </c>
      <c r="E27" s="16" t="s">
        <v>704</v>
      </c>
      <c r="F27" s="17" t="n">
        <f aca="false">C27*D27</f>
        <v>15</v>
      </c>
    </row>
    <row r="28" customFormat="false" ht="15" hidden="false" customHeight="false" outlineLevel="0" collapsed="false">
      <c r="A28" s="8" t="s">
        <v>705</v>
      </c>
      <c r="B28" s="8" t="s">
        <v>706</v>
      </c>
      <c r="C28" s="9" t="n">
        <v>40</v>
      </c>
      <c r="D28" s="10" t="n">
        <v>0.5</v>
      </c>
      <c r="E28" s="16" t="s">
        <v>707</v>
      </c>
      <c r="F28" s="17" t="n">
        <f aca="false">C28*D28</f>
        <v>20</v>
      </c>
    </row>
    <row r="29" customFormat="false" ht="15" hidden="false" customHeight="false" outlineLevel="0" collapsed="false">
      <c r="A29" s="8" t="s">
        <v>708</v>
      </c>
      <c r="B29" s="8" t="s">
        <v>706</v>
      </c>
      <c r="C29" s="9" t="n">
        <v>40</v>
      </c>
      <c r="D29" s="10" t="n">
        <v>0.4</v>
      </c>
      <c r="E29" s="16" t="s">
        <v>709</v>
      </c>
      <c r="F29" s="17" t="n">
        <f aca="false">C29*D29</f>
        <v>16</v>
      </c>
    </row>
    <row r="30" customFormat="false" ht="15" hidden="false" customHeight="false" outlineLevel="0" collapsed="false">
      <c r="A30" s="8" t="s">
        <v>710</v>
      </c>
      <c r="B30" s="8" t="s">
        <v>706</v>
      </c>
      <c r="C30" s="9" t="n">
        <v>30</v>
      </c>
      <c r="D30" s="10" t="n">
        <v>0.5</v>
      </c>
      <c r="E30" s="16" t="s">
        <v>711</v>
      </c>
      <c r="F30" s="17" t="n">
        <f aca="false">C30*D30</f>
        <v>15</v>
      </c>
    </row>
    <row r="31" customFormat="false" ht="15" hidden="false" customHeight="false" outlineLevel="0" collapsed="false">
      <c r="A31" s="8" t="s">
        <v>712</v>
      </c>
      <c r="B31" s="8" t="s">
        <v>706</v>
      </c>
      <c r="C31" s="9" t="n">
        <v>30</v>
      </c>
      <c r="D31" s="10" t="n">
        <v>0.5</v>
      </c>
      <c r="E31" s="16" t="s">
        <v>713</v>
      </c>
      <c r="F31" s="17" t="n">
        <f aca="false">C31*D31</f>
        <v>15</v>
      </c>
    </row>
    <row r="32" customFormat="false" ht="15" hidden="false" customHeight="false" outlineLevel="0" collapsed="false">
      <c r="A32" s="8" t="s">
        <v>714</v>
      </c>
      <c r="B32" s="8" t="s">
        <v>706</v>
      </c>
      <c r="C32" s="9" t="n">
        <v>30</v>
      </c>
      <c r="D32" s="10" t="n">
        <v>0.5</v>
      </c>
      <c r="E32" s="16" t="s">
        <v>715</v>
      </c>
      <c r="F32" s="17" t="n">
        <f aca="false">C32*D32</f>
        <v>15</v>
      </c>
    </row>
    <row r="33" customFormat="false" ht="15" hidden="false" customHeight="false" outlineLevel="0" collapsed="false">
      <c r="A33" s="8" t="s">
        <v>716</v>
      </c>
      <c r="B33" s="8" t="s">
        <v>706</v>
      </c>
      <c r="C33" s="9" t="n">
        <v>30</v>
      </c>
      <c r="D33" s="10" t="n">
        <v>0.35</v>
      </c>
      <c r="E33" s="16" t="s">
        <v>717</v>
      </c>
      <c r="F33" s="17" t="n">
        <f aca="false">C33*D33</f>
        <v>10.5</v>
      </c>
    </row>
    <row r="34" customFormat="false" ht="15" hidden="false" customHeight="false" outlineLevel="0" collapsed="false">
      <c r="A34" s="8" t="s">
        <v>718</v>
      </c>
      <c r="B34" s="8" t="s">
        <v>706</v>
      </c>
      <c r="C34" s="9" t="n">
        <v>30</v>
      </c>
      <c r="D34" s="10" t="n">
        <v>0.45</v>
      </c>
      <c r="E34" s="16" t="s">
        <v>719</v>
      </c>
      <c r="F34" s="17" t="n">
        <f aca="false">C34*D34</f>
        <v>13.5</v>
      </c>
    </row>
    <row r="35" customFormat="false" ht="15" hidden="false" customHeight="false" outlineLevel="0" collapsed="false">
      <c r="A35" s="8" t="s">
        <v>720</v>
      </c>
      <c r="B35" s="8" t="s">
        <v>706</v>
      </c>
      <c r="C35" s="9" t="n">
        <v>60</v>
      </c>
      <c r="D35" s="10" t="n">
        <v>0.3</v>
      </c>
      <c r="E35" s="16" t="s">
        <v>721</v>
      </c>
      <c r="F35" s="17" t="n">
        <f aca="false">C35*D35</f>
        <v>18</v>
      </c>
    </row>
    <row r="36" customFormat="false" ht="15" hidden="false" customHeight="false" outlineLevel="0" collapsed="false">
      <c r="A36" s="8" t="s">
        <v>722</v>
      </c>
      <c r="B36" s="8" t="s">
        <v>706</v>
      </c>
      <c r="C36" s="9" t="n">
        <v>40</v>
      </c>
      <c r="D36" s="10" t="n">
        <v>0.3</v>
      </c>
      <c r="E36" s="16" t="s">
        <v>723</v>
      </c>
      <c r="F36" s="17" t="n">
        <f aca="false">C36*D36</f>
        <v>12</v>
      </c>
    </row>
    <row r="37" customFormat="false" ht="15" hidden="false" customHeight="false" outlineLevel="0" collapsed="false">
      <c r="A37" s="8" t="s">
        <v>724</v>
      </c>
      <c r="B37" s="8" t="s">
        <v>706</v>
      </c>
      <c r="C37" s="9" t="n">
        <v>20</v>
      </c>
      <c r="D37" s="10" t="n">
        <v>0.3</v>
      </c>
      <c r="E37" s="16" t="s">
        <v>725</v>
      </c>
      <c r="F37" s="17" t="n">
        <f aca="false">C37*D37</f>
        <v>6</v>
      </c>
    </row>
    <row r="38" customFormat="false" ht="15" hidden="false" customHeight="false" outlineLevel="0" collapsed="false">
      <c r="A38" s="8" t="s">
        <v>726</v>
      </c>
      <c r="B38" s="8" t="s">
        <v>706</v>
      </c>
      <c r="C38" s="9" t="n">
        <v>20</v>
      </c>
      <c r="D38" s="10" t="n">
        <v>0.3</v>
      </c>
      <c r="E38" s="16" t="s">
        <v>727</v>
      </c>
      <c r="F38" s="17" t="n">
        <f aca="false">C38*D38</f>
        <v>6</v>
      </c>
    </row>
    <row r="39" customFormat="false" ht="15" hidden="false" customHeight="false" outlineLevel="0" collapsed="false">
      <c r="A39" s="8" t="s">
        <v>728</v>
      </c>
      <c r="B39" s="8" t="s">
        <v>706</v>
      </c>
      <c r="C39" s="9" t="n">
        <v>30</v>
      </c>
      <c r="D39" s="10" t="n">
        <v>0.45</v>
      </c>
      <c r="E39" s="16" t="s">
        <v>729</v>
      </c>
      <c r="F39" s="17" t="n">
        <f aca="false">C39*D39</f>
        <v>13.5</v>
      </c>
    </row>
    <row r="40" customFormat="false" ht="15" hidden="false" customHeight="false" outlineLevel="0" collapsed="false">
      <c r="A40" s="8" t="s">
        <v>730</v>
      </c>
      <c r="B40" s="8" t="s">
        <v>731</v>
      </c>
      <c r="C40" s="9" t="n">
        <v>80</v>
      </c>
      <c r="D40" s="10" t="n">
        <v>0.3</v>
      </c>
      <c r="E40" s="16" t="s">
        <v>732</v>
      </c>
      <c r="F40" s="17" t="n">
        <f aca="false">C40*D40</f>
        <v>24</v>
      </c>
    </row>
    <row r="41" customFormat="false" ht="15" hidden="false" customHeight="false" outlineLevel="0" collapsed="false">
      <c r="A41" s="8" t="s">
        <v>733</v>
      </c>
      <c r="B41" s="8" t="s">
        <v>731</v>
      </c>
      <c r="C41" s="9" t="n">
        <v>60</v>
      </c>
      <c r="D41" s="10" t="n">
        <v>0.35</v>
      </c>
      <c r="E41" s="16" t="s">
        <v>734</v>
      </c>
      <c r="F41" s="17" t="n">
        <f aca="false">C41*D41</f>
        <v>21</v>
      </c>
    </row>
    <row r="42" customFormat="false" ht="15" hidden="false" customHeight="false" outlineLevel="0" collapsed="false">
      <c r="A42" s="8" t="s">
        <v>735</v>
      </c>
      <c r="B42" s="8" t="s">
        <v>731</v>
      </c>
      <c r="C42" s="9" t="n">
        <v>40</v>
      </c>
      <c r="D42" s="10" t="n">
        <v>0.35</v>
      </c>
      <c r="E42" s="16" t="s">
        <v>736</v>
      </c>
      <c r="F42" s="17" t="n">
        <f aca="false">C42*D42</f>
        <v>14</v>
      </c>
    </row>
    <row r="43" customFormat="false" ht="15" hidden="false" customHeight="false" outlineLevel="0" collapsed="false">
      <c r="A43" s="8" t="s">
        <v>737</v>
      </c>
      <c r="B43" s="8" t="s">
        <v>731</v>
      </c>
      <c r="C43" s="9" t="n">
        <v>30</v>
      </c>
      <c r="D43" s="10" t="n">
        <v>0.4</v>
      </c>
      <c r="E43" s="16" t="s">
        <v>738</v>
      </c>
      <c r="F43" s="17" t="n">
        <f aca="false">C43*D43</f>
        <v>12</v>
      </c>
    </row>
    <row r="44" customFormat="false" ht="15" hidden="false" customHeight="false" outlineLevel="0" collapsed="false">
      <c r="A44" s="8" t="s">
        <v>739</v>
      </c>
      <c r="B44" s="8" t="s">
        <v>731</v>
      </c>
      <c r="C44" s="9" t="n">
        <v>30</v>
      </c>
      <c r="D44" s="10" t="n">
        <v>0.35</v>
      </c>
      <c r="E44" s="16" t="s">
        <v>740</v>
      </c>
      <c r="F44" s="17" t="n">
        <f aca="false">C44*D44</f>
        <v>10.5</v>
      </c>
    </row>
    <row r="45" customFormat="false" ht="15" hidden="false" customHeight="false" outlineLevel="0" collapsed="false">
      <c r="A45" s="8" t="s">
        <v>741</v>
      </c>
      <c r="B45" s="8" t="s">
        <v>731</v>
      </c>
      <c r="C45" s="9" t="n">
        <v>20</v>
      </c>
      <c r="D45" s="10" t="n">
        <v>0.3</v>
      </c>
      <c r="E45" s="16" t="s">
        <v>742</v>
      </c>
      <c r="F45" s="17" t="n">
        <f aca="false">C45*D45</f>
        <v>6</v>
      </c>
    </row>
    <row r="46" customFormat="false" ht="15" hidden="false" customHeight="false" outlineLevel="0" collapsed="false">
      <c r="A46" s="8" t="s">
        <v>743</v>
      </c>
      <c r="B46" s="8" t="s">
        <v>731</v>
      </c>
      <c r="C46" s="9" t="n">
        <v>40</v>
      </c>
      <c r="D46" s="10" t="n">
        <v>0.25</v>
      </c>
      <c r="E46" s="16" t="s">
        <v>744</v>
      </c>
      <c r="F46" s="17" t="n">
        <f aca="false">C46*D46</f>
        <v>10</v>
      </c>
    </row>
    <row r="47" customFormat="false" ht="15" hidden="false" customHeight="false" outlineLevel="0" collapsed="false">
      <c r="A47" s="8" t="s">
        <v>745</v>
      </c>
      <c r="B47" s="8" t="s">
        <v>731</v>
      </c>
      <c r="C47" s="9" t="n">
        <v>30</v>
      </c>
      <c r="D47" s="10" t="n">
        <v>0.25</v>
      </c>
      <c r="E47" s="16" t="s">
        <v>746</v>
      </c>
      <c r="F47" s="17" t="n">
        <f aca="false">C47*D47</f>
        <v>7.5</v>
      </c>
    </row>
    <row r="48" customFormat="false" ht="15" hidden="false" customHeight="false" outlineLevel="0" collapsed="false">
      <c r="A48" s="8" t="s">
        <v>747</v>
      </c>
      <c r="B48" s="8" t="s">
        <v>731</v>
      </c>
      <c r="C48" s="9" t="n">
        <v>20</v>
      </c>
      <c r="D48" s="10" t="n">
        <v>0.25</v>
      </c>
      <c r="E48" s="16" t="s">
        <v>748</v>
      </c>
      <c r="F48" s="17" t="n">
        <f aca="false">C48*D48</f>
        <v>5</v>
      </c>
    </row>
    <row r="49" customFormat="false" ht="15" hidden="false" customHeight="false" outlineLevel="0" collapsed="false">
      <c r="A49" s="8" t="s">
        <v>749</v>
      </c>
      <c r="B49" s="8" t="s">
        <v>731</v>
      </c>
      <c r="C49" s="9" t="n">
        <v>20</v>
      </c>
      <c r="D49" s="10" t="n">
        <v>0.25</v>
      </c>
      <c r="E49" s="16" t="s">
        <v>750</v>
      </c>
      <c r="F49" s="17" t="n">
        <f aca="false">C49*D49</f>
        <v>5</v>
      </c>
    </row>
    <row r="50" customFormat="false" ht="15" hidden="false" customHeight="false" outlineLevel="0" collapsed="false">
      <c r="A50" s="8" t="s">
        <v>751</v>
      </c>
      <c r="B50" s="8" t="s">
        <v>731</v>
      </c>
      <c r="C50" s="9" t="n">
        <v>20</v>
      </c>
      <c r="D50" s="10" t="n">
        <v>0.35</v>
      </c>
      <c r="E50" s="16" t="s">
        <v>752</v>
      </c>
      <c r="F50" s="17" t="n">
        <f aca="false">C50*D50</f>
        <v>7</v>
      </c>
    </row>
    <row r="51" customFormat="false" ht="15" hidden="false" customHeight="false" outlineLevel="0" collapsed="false">
      <c r="A51" s="8" t="s">
        <v>753</v>
      </c>
      <c r="B51" s="8" t="s">
        <v>731</v>
      </c>
      <c r="C51" s="9" t="n">
        <v>20</v>
      </c>
      <c r="D51" s="10" t="n">
        <v>0.35</v>
      </c>
      <c r="E51" s="16" t="s">
        <v>754</v>
      </c>
      <c r="F51" s="17" t="n">
        <f aca="false">C51*D51</f>
        <v>7</v>
      </c>
    </row>
    <row r="52" customFormat="false" ht="15" hidden="false" customHeight="false" outlineLevel="0" collapsed="false">
      <c r="A52" s="8" t="s">
        <v>755</v>
      </c>
      <c r="B52" s="8" t="s">
        <v>756</v>
      </c>
      <c r="C52" s="9" t="n">
        <v>500</v>
      </c>
      <c r="D52" s="10" t="n">
        <v>0.1</v>
      </c>
      <c r="E52" s="16" t="s">
        <v>757</v>
      </c>
      <c r="F52" s="17" t="n">
        <f aca="false">C52*D52</f>
        <v>50</v>
      </c>
    </row>
    <row r="53" customFormat="false" ht="15" hidden="false" customHeight="false" outlineLevel="0" collapsed="false">
      <c r="A53" s="8" t="s">
        <v>758</v>
      </c>
      <c r="B53" s="8" t="s">
        <v>756</v>
      </c>
      <c r="C53" s="9" t="n">
        <v>500</v>
      </c>
      <c r="D53" s="10" t="n">
        <v>0.1</v>
      </c>
      <c r="E53" s="16" t="s">
        <v>759</v>
      </c>
      <c r="F53" s="17" t="n">
        <f aca="false">C53*D53</f>
        <v>50</v>
      </c>
    </row>
    <row r="54" customFormat="false" ht="15" hidden="false" customHeight="false" outlineLevel="0" collapsed="false">
      <c r="A54" s="8" t="s">
        <v>760</v>
      </c>
      <c r="B54" s="8" t="s">
        <v>756</v>
      </c>
      <c r="C54" s="9" t="n">
        <v>300</v>
      </c>
      <c r="D54" s="10" t="n">
        <v>0.1</v>
      </c>
      <c r="E54" s="16" t="s">
        <v>761</v>
      </c>
      <c r="F54" s="17" t="n">
        <f aca="false">C54*D54</f>
        <v>30</v>
      </c>
    </row>
    <row r="55" customFormat="false" ht="15" hidden="false" customHeight="false" outlineLevel="0" collapsed="false">
      <c r="A55" s="8" t="s">
        <v>762</v>
      </c>
      <c r="B55" s="8" t="s">
        <v>756</v>
      </c>
      <c r="C55" s="9" t="n">
        <v>500</v>
      </c>
      <c r="D55" s="10" t="n">
        <v>0.08</v>
      </c>
      <c r="E55" s="16" t="s">
        <v>763</v>
      </c>
      <c r="F55" s="17" t="n">
        <f aca="false">C55*D55</f>
        <v>40</v>
      </c>
    </row>
    <row r="56" customFormat="false" ht="15" hidden="false" customHeight="false" outlineLevel="0" collapsed="false">
      <c r="A56" s="8" t="s">
        <v>764</v>
      </c>
      <c r="B56" s="8" t="s">
        <v>756</v>
      </c>
      <c r="C56" s="9" t="n">
        <v>300</v>
      </c>
      <c r="D56" s="10" t="n">
        <v>0.05</v>
      </c>
      <c r="E56" s="16" t="s">
        <v>765</v>
      </c>
      <c r="F56" s="17" t="n">
        <f aca="false">C56*D56</f>
        <v>15</v>
      </c>
    </row>
    <row r="57" customFormat="false" ht="15" hidden="false" customHeight="false" outlineLevel="0" collapsed="false">
      <c r="A57" s="8" t="s">
        <v>766</v>
      </c>
      <c r="B57" s="8" t="s">
        <v>756</v>
      </c>
      <c r="C57" s="9" t="n">
        <v>300</v>
      </c>
      <c r="D57" s="10" t="n">
        <v>0.1</v>
      </c>
      <c r="E57" s="16" t="s">
        <v>767</v>
      </c>
      <c r="F57" s="17" t="n">
        <f aca="false">C57*D57</f>
        <v>30</v>
      </c>
    </row>
    <row r="58" customFormat="false" ht="15" hidden="false" customHeight="false" outlineLevel="0" collapsed="false">
      <c r="A58" s="8" t="s">
        <v>768</v>
      </c>
      <c r="B58" s="8" t="s">
        <v>756</v>
      </c>
      <c r="C58" s="9" t="n">
        <v>200</v>
      </c>
      <c r="D58" s="10" t="n">
        <v>0.1</v>
      </c>
      <c r="E58" s="16" t="s">
        <v>769</v>
      </c>
      <c r="F58" s="17" t="n">
        <f aca="false">C58*D58</f>
        <v>20</v>
      </c>
    </row>
    <row r="59" customFormat="false" ht="15" hidden="false" customHeight="false" outlineLevel="0" collapsed="false">
      <c r="A59" s="8" t="s">
        <v>770</v>
      </c>
      <c r="B59" s="8" t="s">
        <v>756</v>
      </c>
      <c r="C59" s="9" t="n">
        <v>200</v>
      </c>
      <c r="D59" s="10" t="n">
        <v>0.1</v>
      </c>
      <c r="E59" s="16" t="s">
        <v>771</v>
      </c>
      <c r="F59" s="17" t="n">
        <f aca="false">C59*D59</f>
        <v>20</v>
      </c>
    </row>
    <row r="60" customFormat="false" ht="15" hidden="false" customHeight="false" outlineLevel="0" collapsed="false">
      <c r="A60" s="8" t="s">
        <v>772</v>
      </c>
      <c r="B60" s="8" t="s">
        <v>756</v>
      </c>
      <c r="C60" s="9" t="n">
        <v>500</v>
      </c>
      <c r="D60" s="10" t="n">
        <v>0.08</v>
      </c>
      <c r="E60" s="16" t="s">
        <v>773</v>
      </c>
      <c r="F60" s="17" t="n">
        <f aca="false">C60*D60</f>
        <v>40</v>
      </c>
    </row>
    <row r="61" customFormat="false" ht="15" hidden="false" customHeight="false" outlineLevel="0" collapsed="false">
      <c r="A61" s="8" t="s">
        <v>774</v>
      </c>
      <c r="B61" s="8" t="s">
        <v>756</v>
      </c>
      <c r="C61" s="9" t="n">
        <v>200</v>
      </c>
      <c r="D61" s="10" t="n">
        <v>0.12</v>
      </c>
      <c r="E61" s="16" t="s">
        <v>775</v>
      </c>
      <c r="F61" s="17" t="n">
        <f aca="false">C61*D61</f>
        <v>24</v>
      </c>
    </row>
    <row r="62" customFormat="false" ht="15" hidden="false" customHeight="false" outlineLevel="0" collapsed="false">
      <c r="A62" s="8" t="s">
        <v>776</v>
      </c>
      <c r="B62" s="8" t="s">
        <v>756</v>
      </c>
      <c r="C62" s="9" t="n">
        <v>200</v>
      </c>
      <c r="D62" s="10" t="n">
        <v>0.15</v>
      </c>
      <c r="E62" s="16" t="s">
        <v>777</v>
      </c>
      <c r="F62" s="17" t="n">
        <f aca="false">C62*D62</f>
        <v>30</v>
      </c>
    </row>
    <row r="63" customFormat="false" ht="15" hidden="false" customHeight="false" outlineLevel="0" collapsed="false">
      <c r="A63" s="8" t="s">
        <v>778</v>
      </c>
      <c r="B63" s="8" t="s">
        <v>756</v>
      </c>
      <c r="C63" s="9" t="n">
        <v>200</v>
      </c>
      <c r="D63" s="10" t="n">
        <v>0.15</v>
      </c>
      <c r="E63" s="16" t="s">
        <v>779</v>
      </c>
      <c r="F63" s="17" t="n">
        <f aca="false">C63*D63</f>
        <v>30</v>
      </c>
    </row>
    <row r="64" customFormat="false" ht="15" hidden="false" customHeight="false" outlineLevel="0" collapsed="false">
      <c r="A64" s="8" t="s">
        <v>780</v>
      </c>
      <c r="B64" s="8" t="s">
        <v>756</v>
      </c>
      <c r="C64" s="9" t="n">
        <v>100</v>
      </c>
      <c r="D64" s="10" t="n">
        <v>0.2</v>
      </c>
      <c r="E64" s="16" t="s">
        <v>781</v>
      </c>
      <c r="F64" s="17" t="n">
        <f aca="false">C64*D64</f>
        <v>20</v>
      </c>
    </row>
    <row r="65" customFormat="false" ht="15" hidden="false" customHeight="false" outlineLevel="0" collapsed="false">
      <c r="A65" s="8" t="s">
        <v>782</v>
      </c>
      <c r="B65" s="8" t="s">
        <v>783</v>
      </c>
      <c r="C65" s="9" t="n">
        <v>100</v>
      </c>
      <c r="D65" s="10" t="n">
        <v>0.5</v>
      </c>
      <c r="E65" s="16" t="s">
        <v>784</v>
      </c>
      <c r="F65" s="17" t="n">
        <f aca="false">C65*D65</f>
        <v>50</v>
      </c>
    </row>
    <row r="66" customFormat="false" ht="15" hidden="false" customHeight="false" outlineLevel="0" collapsed="false">
      <c r="A66" s="8" t="s">
        <v>785</v>
      </c>
      <c r="B66" s="8" t="s">
        <v>783</v>
      </c>
      <c r="C66" s="9" t="n">
        <v>100</v>
      </c>
      <c r="D66" s="10" t="n">
        <v>0.5</v>
      </c>
      <c r="E66" s="16" t="s">
        <v>786</v>
      </c>
      <c r="F66" s="17" t="n">
        <f aca="false">C66*D66</f>
        <v>50</v>
      </c>
    </row>
    <row r="67" customFormat="false" ht="15" hidden="false" customHeight="false" outlineLevel="0" collapsed="false">
      <c r="A67" s="8" t="s">
        <v>787</v>
      </c>
      <c r="B67" s="8" t="s">
        <v>783</v>
      </c>
      <c r="C67" s="9" t="n">
        <v>60</v>
      </c>
      <c r="D67" s="10" t="n">
        <v>0.45</v>
      </c>
      <c r="E67" s="16" t="s">
        <v>788</v>
      </c>
      <c r="F67" s="17" t="n">
        <f aca="false">C67*D67</f>
        <v>27</v>
      </c>
    </row>
    <row r="68" customFormat="false" ht="15" hidden="false" customHeight="false" outlineLevel="0" collapsed="false">
      <c r="A68" s="8" t="s">
        <v>789</v>
      </c>
      <c r="B68" s="8" t="s">
        <v>783</v>
      </c>
      <c r="C68" s="9" t="n">
        <v>40</v>
      </c>
      <c r="D68" s="10" t="n">
        <v>0.5</v>
      </c>
      <c r="E68" s="16" t="s">
        <v>790</v>
      </c>
      <c r="F68" s="17" t="n">
        <f aca="false">C68*D68</f>
        <v>20</v>
      </c>
    </row>
    <row r="69" customFormat="false" ht="15" hidden="false" customHeight="false" outlineLevel="0" collapsed="false">
      <c r="A69" s="8" t="s">
        <v>791</v>
      </c>
      <c r="B69" s="8" t="s">
        <v>783</v>
      </c>
      <c r="C69" s="9" t="n">
        <v>40</v>
      </c>
      <c r="D69" s="10" t="n">
        <v>0.45</v>
      </c>
      <c r="E69" s="16" t="s">
        <v>792</v>
      </c>
      <c r="F69" s="17" t="n">
        <f aca="false">C69*D69</f>
        <v>18</v>
      </c>
    </row>
    <row r="70" customFormat="false" ht="15" hidden="false" customHeight="false" outlineLevel="0" collapsed="false">
      <c r="A70" s="8" t="s">
        <v>793</v>
      </c>
      <c r="B70" s="8" t="s">
        <v>783</v>
      </c>
      <c r="C70" s="9" t="n">
        <v>100</v>
      </c>
      <c r="D70" s="10" t="n">
        <v>0.35</v>
      </c>
      <c r="E70" s="16" t="s">
        <v>794</v>
      </c>
      <c r="F70" s="17" t="n">
        <f aca="false">C70*D70</f>
        <v>35</v>
      </c>
    </row>
    <row r="71" customFormat="false" ht="15" hidden="false" customHeight="false" outlineLevel="0" collapsed="false">
      <c r="A71" s="8" t="s">
        <v>795</v>
      </c>
      <c r="B71" s="8" t="s">
        <v>783</v>
      </c>
      <c r="C71" s="9" t="n">
        <v>40</v>
      </c>
      <c r="D71" s="10" t="n">
        <v>0.3</v>
      </c>
      <c r="E71" s="16" t="s">
        <v>796</v>
      </c>
      <c r="F71" s="17" t="n">
        <f aca="false">C71*D71</f>
        <v>12</v>
      </c>
    </row>
    <row r="72" customFormat="false" ht="15" hidden="false" customHeight="false" outlineLevel="0" collapsed="false">
      <c r="A72" s="8" t="s">
        <v>797</v>
      </c>
      <c r="B72" s="8" t="s">
        <v>783</v>
      </c>
      <c r="C72" s="9" t="n">
        <v>60</v>
      </c>
      <c r="D72" s="10" t="n">
        <v>0.3</v>
      </c>
      <c r="E72" s="16" t="s">
        <v>798</v>
      </c>
      <c r="F72" s="17" t="n">
        <f aca="false">C72*D72</f>
        <v>18</v>
      </c>
    </row>
    <row r="73" customFormat="false" ht="15" hidden="false" customHeight="false" outlineLevel="0" collapsed="false">
      <c r="A73" s="8" t="s">
        <v>799</v>
      </c>
      <c r="B73" s="8" t="s">
        <v>800</v>
      </c>
      <c r="C73" s="9" t="n">
        <v>60</v>
      </c>
      <c r="D73" s="10" t="n">
        <v>0.45</v>
      </c>
      <c r="E73" s="16" t="s">
        <v>801</v>
      </c>
      <c r="F73" s="17" t="n">
        <f aca="false">C73*D73</f>
        <v>27</v>
      </c>
    </row>
    <row r="74" customFormat="false" ht="15" hidden="false" customHeight="false" outlineLevel="0" collapsed="false">
      <c r="A74" s="8" t="s">
        <v>802</v>
      </c>
      <c r="B74" s="8" t="s">
        <v>800</v>
      </c>
      <c r="C74" s="9" t="n">
        <v>40</v>
      </c>
      <c r="D74" s="10" t="n">
        <v>0.45</v>
      </c>
      <c r="E74" s="16" t="s">
        <v>803</v>
      </c>
      <c r="F74" s="17" t="n">
        <f aca="false">C74*D74</f>
        <v>18</v>
      </c>
    </row>
    <row r="75" customFormat="false" ht="15" hidden="false" customHeight="false" outlineLevel="0" collapsed="false">
      <c r="A75" s="8" t="s">
        <v>804</v>
      </c>
      <c r="B75" s="8" t="s">
        <v>800</v>
      </c>
      <c r="C75" s="9" t="n">
        <v>40</v>
      </c>
      <c r="D75" s="10" t="n">
        <v>0.45</v>
      </c>
      <c r="E75" s="16" t="s">
        <v>805</v>
      </c>
      <c r="F75" s="17" t="n">
        <f aca="false">C75*D75</f>
        <v>18</v>
      </c>
    </row>
    <row r="76" customFormat="false" ht="15" hidden="false" customHeight="false" outlineLevel="0" collapsed="false">
      <c r="A76" s="8" t="s">
        <v>806</v>
      </c>
      <c r="B76" s="8" t="s">
        <v>800</v>
      </c>
      <c r="C76" s="9" t="n">
        <v>30</v>
      </c>
      <c r="D76" s="10" t="n">
        <v>0.45</v>
      </c>
      <c r="E76" s="16" t="s">
        <v>807</v>
      </c>
      <c r="F76" s="17" t="n">
        <f aca="false">C76*D76</f>
        <v>13.5</v>
      </c>
    </row>
    <row r="77" customFormat="false" ht="15" hidden="false" customHeight="false" outlineLevel="0" collapsed="false">
      <c r="A77" s="8" t="s">
        <v>808</v>
      </c>
      <c r="B77" s="8" t="s">
        <v>800</v>
      </c>
      <c r="C77" s="9" t="n">
        <v>40</v>
      </c>
      <c r="D77" s="10" t="n">
        <v>0.35</v>
      </c>
      <c r="E77" s="16" t="s">
        <v>809</v>
      </c>
      <c r="F77" s="17" t="n">
        <f aca="false">C77*D77</f>
        <v>14</v>
      </c>
    </row>
    <row r="78" customFormat="false" ht="15" hidden="false" customHeight="false" outlineLevel="0" collapsed="false">
      <c r="A78" s="8" t="s">
        <v>810</v>
      </c>
      <c r="B78" s="8" t="s">
        <v>800</v>
      </c>
      <c r="C78" s="9" t="n">
        <v>60</v>
      </c>
      <c r="D78" s="10" t="n">
        <v>0.3</v>
      </c>
      <c r="E78" s="16" t="s">
        <v>811</v>
      </c>
      <c r="F78" s="17" t="n">
        <f aca="false">C78*D78</f>
        <v>18</v>
      </c>
    </row>
    <row r="79" customFormat="false" ht="15" hidden="false" customHeight="false" outlineLevel="0" collapsed="false">
      <c r="A79" s="8" t="s">
        <v>812</v>
      </c>
      <c r="B79" s="8" t="s">
        <v>800</v>
      </c>
      <c r="C79" s="9" t="n">
        <v>30</v>
      </c>
      <c r="D79" s="10" t="n">
        <v>0.35</v>
      </c>
      <c r="E79" s="16" t="s">
        <v>813</v>
      </c>
      <c r="F79" s="17" t="n">
        <f aca="false">C79*D79</f>
        <v>10.5</v>
      </c>
    </row>
    <row r="80" customFormat="false" ht="15" hidden="false" customHeight="false" outlineLevel="0" collapsed="false">
      <c r="A80" s="8" t="s">
        <v>814</v>
      </c>
      <c r="B80" s="8" t="s">
        <v>800</v>
      </c>
      <c r="C80" s="9" t="n">
        <v>50</v>
      </c>
      <c r="D80" s="10" t="n">
        <v>0.3</v>
      </c>
      <c r="E80" s="16" t="s">
        <v>815</v>
      </c>
      <c r="F80" s="17" t="n">
        <f aca="false">C80*D80</f>
        <v>15</v>
      </c>
    </row>
    <row r="81" customFormat="false" ht="15" hidden="false" customHeight="false" outlineLevel="0" collapsed="false">
      <c r="A81" s="8" t="s">
        <v>816</v>
      </c>
      <c r="B81" s="8" t="s">
        <v>800</v>
      </c>
      <c r="C81" s="9" t="n">
        <v>40</v>
      </c>
      <c r="D81" s="10" t="n">
        <v>0.4</v>
      </c>
      <c r="E81" s="16" t="s">
        <v>817</v>
      </c>
      <c r="F81" s="17" t="n">
        <f aca="false">C81*D81</f>
        <v>16</v>
      </c>
    </row>
    <row r="82" customFormat="false" ht="15" hidden="false" customHeight="false" outlineLevel="0" collapsed="false">
      <c r="A82" s="8" t="s">
        <v>818</v>
      </c>
      <c r="B82" s="8" t="s">
        <v>800</v>
      </c>
      <c r="C82" s="9" t="n">
        <v>30</v>
      </c>
      <c r="D82" s="10" t="n">
        <v>0.4</v>
      </c>
      <c r="E82" s="16" t="s">
        <v>819</v>
      </c>
      <c r="F82" s="17" t="n">
        <f aca="false">C82*D82</f>
        <v>12</v>
      </c>
    </row>
    <row r="83" customFormat="false" ht="15" hidden="false" customHeight="false" outlineLevel="0" collapsed="false">
      <c r="A83" s="8" t="s">
        <v>820</v>
      </c>
      <c r="B83" s="8" t="s">
        <v>800</v>
      </c>
      <c r="C83" s="9" t="n">
        <v>20</v>
      </c>
      <c r="D83" s="10" t="n">
        <v>0.4</v>
      </c>
      <c r="E83" s="16" t="s">
        <v>821</v>
      </c>
      <c r="F83" s="17" t="n">
        <f aca="false">C83*D83</f>
        <v>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50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5" t="s">
        <v>822</v>
      </c>
      <c r="B1" s="15"/>
      <c r="C1" s="15"/>
      <c r="D1" s="15"/>
      <c r="E1" s="15"/>
    </row>
    <row r="2" customFormat="false" ht="15" hidden="false" customHeight="false" outlineLevel="0" collapsed="false">
      <c r="A2" s="18" t="s">
        <v>823</v>
      </c>
      <c r="B2" s="18" t="s">
        <v>824</v>
      </c>
      <c r="C2" s="18" t="s">
        <v>825</v>
      </c>
      <c r="D2" s="18" t="s">
        <v>826</v>
      </c>
      <c r="E2" s="18" t="s">
        <v>38</v>
      </c>
    </row>
    <row r="3" customFormat="false" ht="15" hidden="false" customHeight="false" outlineLevel="0" collapsed="false">
      <c r="A3" s="8" t="s">
        <v>827</v>
      </c>
      <c r="B3" s="8" t="s">
        <v>828</v>
      </c>
      <c r="C3" s="8" t="s">
        <v>24</v>
      </c>
      <c r="D3" s="19" t="s">
        <v>829</v>
      </c>
      <c r="E3" s="16" t="s">
        <v>830</v>
      </c>
    </row>
    <row r="4" customFormat="false" ht="15" hidden="false" customHeight="false" outlineLevel="0" collapsed="false">
      <c r="A4" s="8" t="s">
        <v>831</v>
      </c>
      <c r="B4" s="8" t="s">
        <v>832</v>
      </c>
      <c r="C4" s="8" t="s">
        <v>21</v>
      </c>
      <c r="D4" s="19" t="s">
        <v>833</v>
      </c>
      <c r="E4" s="16" t="s">
        <v>834</v>
      </c>
    </row>
    <row r="5" customFormat="false" ht="15" hidden="false" customHeight="false" outlineLevel="0" collapsed="false">
      <c r="A5" s="8" t="s">
        <v>835</v>
      </c>
      <c r="B5" s="8" t="s">
        <v>828</v>
      </c>
      <c r="C5" s="8" t="s">
        <v>24</v>
      </c>
      <c r="D5" s="19" t="s">
        <v>836</v>
      </c>
      <c r="E5" s="16" t="s">
        <v>837</v>
      </c>
    </row>
    <row r="6" customFormat="false" ht="15" hidden="false" customHeight="false" outlineLevel="0" collapsed="false">
      <c r="A6" s="8" t="s">
        <v>838</v>
      </c>
      <c r="B6" s="8" t="s">
        <v>828</v>
      </c>
      <c r="C6" s="8" t="s">
        <v>24</v>
      </c>
      <c r="D6" s="19" t="s">
        <v>839</v>
      </c>
      <c r="E6" s="16" t="s">
        <v>840</v>
      </c>
    </row>
    <row r="7" customFormat="false" ht="15" hidden="false" customHeight="false" outlineLevel="0" collapsed="false">
      <c r="A7" s="8" t="s">
        <v>841</v>
      </c>
      <c r="B7" s="8" t="s">
        <v>842</v>
      </c>
      <c r="C7" s="8" t="s">
        <v>24</v>
      </c>
      <c r="D7" s="19" t="s">
        <v>843</v>
      </c>
      <c r="E7" s="16" t="s">
        <v>844</v>
      </c>
    </row>
    <row r="8" customFormat="false" ht="15" hidden="false" customHeight="false" outlineLevel="0" collapsed="false">
      <c r="A8" s="8" t="s">
        <v>845</v>
      </c>
      <c r="B8" s="8" t="s">
        <v>842</v>
      </c>
      <c r="C8" s="8" t="s">
        <v>21</v>
      </c>
      <c r="D8" s="19" t="s">
        <v>846</v>
      </c>
      <c r="E8" s="16" t="s">
        <v>847</v>
      </c>
    </row>
    <row r="9" customFormat="false" ht="15" hidden="false" customHeight="false" outlineLevel="0" collapsed="false">
      <c r="A9" s="8" t="s">
        <v>848</v>
      </c>
      <c r="B9" s="8" t="s">
        <v>842</v>
      </c>
      <c r="C9" s="8" t="s">
        <v>21</v>
      </c>
      <c r="D9" s="19" t="s">
        <v>849</v>
      </c>
      <c r="E9" s="16" t="s">
        <v>850</v>
      </c>
    </row>
    <row r="10" customFormat="false" ht="15" hidden="false" customHeight="false" outlineLevel="0" collapsed="false">
      <c r="A10" s="8" t="s">
        <v>851</v>
      </c>
      <c r="B10" s="8" t="s">
        <v>842</v>
      </c>
      <c r="C10" s="8" t="s">
        <v>24</v>
      </c>
      <c r="D10" s="19" t="s">
        <v>852</v>
      </c>
      <c r="E10" s="16" t="s">
        <v>853</v>
      </c>
    </row>
    <row r="11" customFormat="false" ht="15" hidden="false" customHeight="false" outlineLevel="0" collapsed="false">
      <c r="A11" s="8" t="s">
        <v>854</v>
      </c>
      <c r="B11" s="8" t="s">
        <v>842</v>
      </c>
      <c r="C11" s="8" t="s">
        <v>24</v>
      </c>
      <c r="D11" s="19" t="s">
        <v>855</v>
      </c>
      <c r="E11" s="16" t="s">
        <v>856</v>
      </c>
    </row>
    <row r="12" customFormat="false" ht="15" hidden="false" customHeight="false" outlineLevel="0" collapsed="false">
      <c r="A12" s="8" t="s">
        <v>857</v>
      </c>
      <c r="B12" s="8" t="s">
        <v>842</v>
      </c>
      <c r="C12" s="8" t="s">
        <v>21</v>
      </c>
      <c r="D12" s="19" t="s">
        <v>858</v>
      </c>
      <c r="E12" s="16" t="s">
        <v>859</v>
      </c>
    </row>
    <row r="13" customFormat="false" ht="15" hidden="false" customHeight="false" outlineLevel="0" collapsed="false">
      <c r="A13" s="8" t="s">
        <v>860</v>
      </c>
      <c r="B13" s="8" t="s">
        <v>433</v>
      </c>
      <c r="C13" s="8" t="s">
        <v>21</v>
      </c>
      <c r="D13" s="19" t="s">
        <v>861</v>
      </c>
      <c r="E13" s="16" t="s">
        <v>862</v>
      </c>
    </row>
    <row r="14" customFormat="false" ht="15" hidden="false" customHeight="false" outlineLevel="0" collapsed="false">
      <c r="A14" s="8" t="s">
        <v>863</v>
      </c>
      <c r="B14" s="8" t="s">
        <v>433</v>
      </c>
      <c r="C14" s="8" t="s">
        <v>24</v>
      </c>
      <c r="D14" s="19" t="s">
        <v>864</v>
      </c>
      <c r="E14" s="16" t="s">
        <v>865</v>
      </c>
    </row>
    <row r="15" customFormat="false" ht="15" hidden="false" customHeight="false" outlineLevel="0" collapsed="false">
      <c r="A15" s="8" t="s">
        <v>866</v>
      </c>
      <c r="B15" s="8" t="s">
        <v>867</v>
      </c>
      <c r="C15" s="8" t="s">
        <v>21</v>
      </c>
      <c r="D15" s="19" t="s">
        <v>868</v>
      </c>
      <c r="E15" s="16" t="s">
        <v>869</v>
      </c>
    </row>
    <row r="16" customFormat="false" ht="15" hidden="false" customHeight="false" outlineLevel="0" collapsed="false">
      <c r="A16" s="8" t="s">
        <v>870</v>
      </c>
      <c r="B16" s="8" t="s">
        <v>335</v>
      </c>
      <c r="C16" s="8" t="s">
        <v>18</v>
      </c>
      <c r="D16" s="19" t="s">
        <v>871</v>
      </c>
      <c r="E16" s="16" t="s">
        <v>872</v>
      </c>
    </row>
    <row r="17" customFormat="false" ht="15" hidden="false" customHeight="false" outlineLevel="0" collapsed="false">
      <c r="A17" s="8" t="s">
        <v>873</v>
      </c>
      <c r="B17" s="8" t="s">
        <v>335</v>
      </c>
      <c r="C17" s="8" t="s">
        <v>18</v>
      </c>
      <c r="D17" s="19" t="s">
        <v>874</v>
      </c>
      <c r="E17" s="16" t="s">
        <v>875</v>
      </c>
    </row>
    <row r="18" customFormat="false" ht="15" hidden="false" customHeight="false" outlineLevel="0" collapsed="false">
      <c r="A18" s="8" t="s">
        <v>876</v>
      </c>
      <c r="B18" s="8" t="s">
        <v>828</v>
      </c>
      <c r="C18" s="8" t="s">
        <v>27</v>
      </c>
      <c r="D18" s="19" t="s">
        <v>877</v>
      </c>
      <c r="E18" s="16" t="s">
        <v>878</v>
      </c>
    </row>
    <row r="19" customFormat="false" ht="15" hidden="false" customHeight="false" outlineLevel="0" collapsed="false">
      <c r="A19" s="8" t="s">
        <v>879</v>
      </c>
      <c r="B19" s="8" t="s">
        <v>880</v>
      </c>
      <c r="C19" s="8" t="s">
        <v>21</v>
      </c>
      <c r="D19" s="19" t="s">
        <v>881</v>
      </c>
      <c r="E19" s="16" t="s">
        <v>882</v>
      </c>
    </row>
    <row r="20" customFormat="false" ht="15" hidden="false" customHeight="false" outlineLevel="0" collapsed="false">
      <c r="A20" s="8" t="s">
        <v>883</v>
      </c>
      <c r="B20" s="8" t="s">
        <v>880</v>
      </c>
      <c r="C20" s="8" t="s">
        <v>24</v>
      </c>
      <c r="D20" s="19" t="s">
        <v>884</v>
      </c>
      <c r="E20" s="16" t="s">
        <v>885</v>
      </c>
    </row>
    <row r="21" customFormat="false" ht="15" hidden="false" customHeight="false" outlineLevel="0" collapsed="false">
      <c r="A21" s="8" t="s">
        <v>886</v>
      </c>
      <c r="B21" s="8" t="s">
        <v>887</v>
      </c>
      <c r="C21" s="8" t="s">
        <v>24</v>
      </c>
      <c r="D21" s="19" t="s">
        <v>888</v>
      </c>
      <c r="E21" s="16" t="s">
        <v>889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5"/>
    <col collapsed="false" customWidth="true" hidden="false" outlineLevel="0" max="3" min="3" style="0" width="45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5" t="s">
        <v>890</v>
      </c>
      <c r="B1" s="15"/>
      <c r="C1" s="15"/>
      <c r="D1" s="15"/>
    </row>
    <row r="2" customFormat="false" ht="15" hidden="false" customHeight="false" outlineLevel="0" collapsed="false">
      <c r="A2" s="18" t="s">
        <v>891</v>
      </c>
      <c r="B2" s="18" t="s">
        <v>892</v>
      </c>
      <c r="C2" s="18" t="s">
        <v>893</v>
      </c>
      <c r="D2" s="18" t="s">
        <v>894</v>
      </c>
    </row>
    <row r="3" customFormat="false" ht="15" hidden="false" customHeight="false" outlineLevel="0" collapsed="false">
      <c r="A3" s="20" t="s">
        <v>895</v>
      </c>
      <c r="B3" s="19" t="s">
        <v>896</v>
      </c>
      <c r="C3" s="19" t="s">
        <v>897</v>
      </c>
      <c r="D3" s="16" t="s">
        <v>898</v>
      </c>
    </row>
    <row r="4" customFormat="false" ht="15" hidden="false" customHeight="false" outlineLevel="0" collapsed="false">
      <c r="A4" s="20" t="s">
        <v>899</v>
      </c>
      <c r="B4" s="19" t="s">
        <v>900</v>
      </c>
      <c r="C4" s="19" t="s">
        <v>901</v>
      </c>
      <c r="D4" s="16" t="s">
        <v>902</v>
      </c>
    </row>
    <row r="5" customFormat="false" ht="15" hidden="false" customHeight="false" outlineLevel="0" collapsed="false">
      <c r="A5" s="20" t="s">
        <v>903</v>
      </c>
      <c r="B5" s="19" t="s">
        <v>904</v>
      </c>
      <c r="C5" s="19" t="s">
        <v>905</v>
      </c>
      <c r="D5" s="16" t="s">
        <v>906</v>
      </c>
    </row>
    <row r="6" customFormat="false" ht="15" hidden="false" customHeight="false" outlineLevel="0" collapsed="false">
      <c r="A6" s="20" t="s">
        <v>907</v>
      </c>
      <c r="B6" s="19" t="s">
        <v>908</v>
      </c>
      <c r="C6" s="19" t="s">
        <v>909</v>
      </c>
      <c r="D6" s="16" t="s">
        <v>910</v>
      </c>
    </row>
    <row r="7" customFormat="false" ht="15" hidden="false" customHeight="false" outlineLevel="0" collapsed="false">
      <c r="A7" s="20" t="s">
        <v>911</v>
      </c>
      <c r="B7" s="19" t="s">
        <v>912</v>
      </c>
      <c r="C7" s="19" t="s">
        <v>913</v>
      </c>
      <c r="D7" s="16" t="s">
        <v>914</v>
      </c>
    </row>
    <row r="8" customFormat="false" ht="15" hidden="false" customHeight="false" outlineLevel="0" collapsed="false">
      <c r="A8" s="20" t="s">
        <v>915</v>
      </c>
      <c r="B8" s="19" t="s">
        <v>916</v>
      </c>
      <c r="C8" s="19" t="s">
        <v>917</v>
      </c>
      <c r="D8" s="16" t="s">
        <v>918</v>
      </c>
    </row>
    <row r="9" customFormat="false" ht="15" hidden="false" customHeight="false" outlineLevel="0" collapsed="false">
      <c r="A9" s="20" t="s">
        <v>919</v>
      </c>
      <c r="B9" s="19" t="s">
        <v>920</v>
      </c>
      <c r="C9" s="19" t="s">
        <v>921</v>
      </c>
      <c r="D9" s="16" t="s">
        <v>922</v>
      </c>
    </row>
    <row r="10" customFormat="false" ht="15" hidden="false" customHeight="false" outlineLevel="0" collapsed="false">
      <c r="A10" s="20" t="s">
        <v>923</v>
      </c>
      <c r="B10" s="19" t="s">
        <v>924</v>
      </c>
      <c r="C10" s="19" t="s">
        <v>925</v>
      </c>
      <c r="D10" s="16" t="s">
        <v>926</v>
      </c>
    </row>
    <row r="11" customFormat="false" ht="15" hidden="false" customHeight="false" outlineLevel="0" collapsed="false">
      <c r="A11" s="20" t="s">
        <v>927</v>
      </c>
      <c r="B11" s="19" t="s">
        <v>928</v>
      </c>
      <c r="C11" s="19" t="s">
        <v>929</v>
      </c>
      <c r="D11" s="16" t="s">
        <v>930</v>
      </c>
    </row>
    <row r="12" customFormat="false" ht="15" hidden="false" customHeight="false" outlineLevel="0" collapsed="false">
      <c r="A12" s="20" t="s">
        <v>931</v>
      </c>
      <c r="B12" s="19" t="s">
        <v>932</v>
      </c>
      <c r="C12" s="19" t="s">
        <v>933</v>
      </c>
      <c r="D12" s="16" t="s">
        <v>934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2026-03-16T05:33:15Z</dcterms:created>
  <dc:creator>openpyxl</dc:creator>
  <dc:description/>
  <dc:language>en-US</dc:language>
  <cp:lastModifiedBy/>
  <dcterms:modified xsi:type="dcterms:W3CDTF">2026-03-16T05:33:15Z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